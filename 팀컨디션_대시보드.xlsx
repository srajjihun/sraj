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ihun\Downloads\"/>
    </mc:Choice>
  </mc:AlternateContent>
  <xr:revisionPtr revIDLastSave="0" documentId="8_{03789C90-BB27-475E-9CAB-CB318BFB380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대시보드" sheetId="1" r:id="rId1"/>
    <sheet name="사업정보" sheetId="2" r:id="rId2"/>
    <sheet name="월간투입" sheetId="3" r:id="rId3"/>
    <sheet name="팀별분석" sheetId="4" r:id="rId4"/>
    <sheet name="상세현황" sheetId="5" r:id="rId5"/>
  </sheets>
  <calcPr fullCalcOnLoad="1"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<sst xmlns="http://schemas.openxmlformats.org/spreadsheetml/2006/main" count="327" uniqueCount="158">
  <si>
    <t>팀별 현황 대시보드</t>
  </si>
  <si>
    <r>
      <rPr>
        <i/>
        <sz val="9"/>
        <color rgb="FF595959"/>
        <rFont val="Noto Sans CJK SC"/>
        <family val="2"/>
      </rPr>
      <t xml:space="preserve">여력 </t>
    </r>
    <r>
      <rPr>
        <i/>
        <sz val="9"/>
        <color rgb="FF595959"/>
        <rFont val="Arial"/>
        <family val="2"/>
      </rPr>
      <t xml:space="preserve">· </t>
    </r>
    <r>
      <rPr>
        <i/>
        <sz val="9"/>
        <color rgb="FF595959"/>
        <rFont val="Noto Sans CJK SC"/>
        <family val="2"/>
      </rPr>
      <t xml:space="preserve">수주 달성 현황 요약   </t>
    </r>
    <r>
      <rPr>
        <i/>
        <sz val="9"/>
        <color rgb="FF595959"/>
        <rFont val="Arial"/>
        <family val="2"/>
      </rPr>
      <t xml:space="preserve">|   </t>
    </r>
    <r>
      <rPr>
        <i/>
        <sz val="9"/>
        <color rgb="FF595959"/>
        <rFont val="Noto Sans CJK SC"/>
        <family val="2"/>
      </rPr>
      <t xml:space="preserve">기준월은 팀별분석 시트 </t>
    </r>
    <r>
      <rPr>
        <i/>
        <sz val="9"/>
        <color rgb="FF595959"/>
        <rFont val="Arial"/>
        <family val="2"/>
      </rPr>
      <t>B5</t>
    </r>
    <r>
      <rPr>
        <i/>
        <sz val="9"/>
        <color rgb="FF595959"/>
        <rFont val="Noto Sans CJK SC"/>
        <family val="2"/>
      </rPr>
      <t>에서 설정합니다</t>
    </r>
  </si>
  <si>
    <t>전사 평균 가동률</t>
  </si>
  <si>
    <r>
      <rPr>
        <b/>
        <sz val="9"/>
        <color rgb="FFFFFFFF"/>
        <rFont val="Noto Sans CJK SC"/>
        <family val="2"/>
      </rPr>
      <t xml:space="preserve">연간 여유 </t>
    </r>
    <r>
      <rPr>
        <b/>
        <sz val="9"/>
        <color rgb="FFFFFFFF"/>
        <rFont val="Arial"/>
        <family val="2"/>
      </rPr>
      <t>M/M</t>
    </r>
  </si>
  <si>
    <t>확정 수주</t>
  </si>
  <si>
    <t>귀속 이윤</t>
  </si>
  <si>
    <t>수주 달성률</t>
  </si>
  <si>
    <t>기간 진도율</t>
  </si>
  <si>
    <t>팀별 현황</t>
  </si>
  <si>
    <t>가동률</t>
  </si>
  <si>
    <r>
      <rPr>
        <sz val="9"/>
        <color rgb="FF595959"/>
        <rFont val="Noto Sans CJK SC"/>
        <family val="2"/>
      </rPr>
      <t xml:space="preserve">연간 여유 </t>
    </r>
    <r>
      <rPr>
        <sz val="9"/>
        <color rgb="FF595959"/>
        <rFont val="Arial"/>
        <family val="2"/>
      </rPr>
      <t>M/M</t>
    </r>
  </si>
  <si>
    <t>진도 차이</t>
  </si>
  <si>
    <r>
      <rPr>
        <b/>
        <sz val="11"/>
        <color rgb="FF1F3864"/>
        <rFont val="Noto Sans CJK SC"/>
        <family val="2"/>
      </rPr>
      <t xml:space="preserve">추이 </t>
    </r>
    <r>
      <rPr>
        <b/>
        <sz val="11"/>
        <color rgb="FF1F3864"/>
        <rFont val="Arial"/>
        <family val="2"/>
      </rPr>
      <t xml:space="preserve">· </t>
    </r>
    <r>
      <rPr>
        <b/>
        <sz val="11"/>
        <color rgb="FF1F3864"/>
        <rFont val="Noto Sans CJK SC"/>
        <family val="2"/>
      </rPr>
      <t>비교</t>
    </r>
  </si>
  <si>
    <r>
      <rPr>
        <i/>
        <sz val="9"/>
        <color rgb="FF595959"/>
        <rFont val="Arial"/>
        <family val="2"/>
      </rPr>
      <t>※ '</t>
    </r>
    <r>
      <rPr>
        <i/>
        <sz val="9"/>
        <color rgb="FF595959"/>
        <rFont val="Noto Sans CJK SC"/>
        <family val="2"/>
      </rPr>
      <t>여력 있음</t>
    </r>
    <r>
      <rPr>
        <i/>
        <sz val="9"/>
        <color rgb="FF595959"/>
        <rFont val="Arial"/>
        <family val="2"/>
      </rPr>
      <t>' + '</t>
    </r>
    <r>
      <rPr>
        <i/>
        <sz val="9"/>
        <color rgb="FF595959"/>
        <rFont val="Noto Sans CJK SC"/>
        <family val="2"/>
      </rPr>
      <t>진도 지연</t>
    </r>
    <r>
      <rPr>
        <i/>
        <sz val="9"/>
        <color rgb="FF595959"/>
        <rFont val="Arial"/>
        <family val="2"/>
      </rPr>
      <t>'</t>
    </r>
    <r>
      <rPr>
        <i/>
        <sz val="9"/>
        <color rgb="FF595959"/>
        <rFont val="Noto Sans CJK SC"/>
        <family val="2"/>
      </rPr>
      <t xml:space="preserve">이 겹치는 팀이 업무 재배분 </t>
    </r>
    <r>
      <rPr>
        <i/>
        <sz val="9"/>
        <color rgb="FF595959"/>
        <rFont val="Arial"/>
        <family val="2"/>
      </rPr>
      <t>1</t>
    </r>
    <r>
      <rPr>
        <i/>
        <sz val="9"/>
        <color rgb="FF595959"/>
        <rFont val="Noto Sans CJK SC"/>
        <family val="2"/>
      </rPr>
      <t>순위입니다</t>
    </r>
    <r>
      <rPr>
        <i/>
        <sz val="9"/>
        <color rgb="FF595959"/>
        <rFont val="Arial"/>
        <family val="2"/>
      </rPr>
      <t>.</t>
    </r>
  </si>
  <si>
    <r>
      <rPr>
        <i/>
        <sz val="9"/>
        <color rgb="FF595959"/>
        <rFont val="Noto Sans CJK SC"/>
        <family val="2"/>
      </rPr>
      <t>※ 팀을 추가하려면 팀별분석 시트 ① 팀 구성의 빈 슬롯에 팀명</t>
    </r>
    <r>
      <rPr>
        <i/>
        <sz val="9"/>
        <color rgb="FF595959"/>
        <rFont val="Arial"/>
        <family val="2"/>
      </rPr>
      <t>·</t>
    </r>
    <r>
      <rPr>
        <i/>
        <sz val="9"/>
        <color rgb="FF595959"/>
        <rFont val="Noto Sans CJK SC"/>
        <family val="2"/>
      </rPr>
      <t>인원수</t>
    </r>
    <r>
      <rPr>
        <i/>
        <sz val="9"/>
        <color rgb="FF595959"/>
        <rFont val="Arial"/>
        <family val="2"/>
      </rPr>
      <t>·</t>
    </r>
    <r>
      <rPr>
        <i/>
        <sz val="9"/>
        <color rgb="FF595959"/>
        <rFont val="Noto Sans CJK SC"/>
        <family val="2"/>
      </rPr>
      <t>목표만 입력하세요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이 화면에 자동으로 나타납니다</t>
    </r>
    <r>
      <rPr>
        <i/>
        <sz val="9"/>
        <color rgb="FF595959"/>
        <rFont val="Arial"/>
        <family val="2"/>
      </rPr>
      <t>.</t>
    </r>
  </si>
  <si>
    <r>
      <rPr>
        <i/>
        <sz val="9"/>
        <color rgb="FF595959"/>
        <rFont val="Noto Sans CJK SC"/>
        <family val="2"/>
      </rPr>
      <t>※ 자세한 월별 수치는 상세현황 시트를</t>
    </r>
    <r>
      <rPr>
        <i/>
        <sz val="9"/>
        <color rgb="FF595959"/>
        <rFont val="Arial"/>
        <family val="2"/>
      </rPr>
      <t xml:space="preserve">, </t>
    </r>
    <r>
      <rPr>
        <i/>
        <sz val="9"/>
        <color rgb="FF595959"/>
        <rFont val="Noto Sans CJK SC"/>
        <family val="2"/>
      </rPr>
      <t>원본 데이터는 사업정보</t>
    </r>
    <r>
      <rPr>
        <i/>
        <sz val="9"/>
        <color rgb="FF595959"/>
        <rFont val="Arial"/>
        <family val="2"/>
      </rPr>
      <t>·</t>
    </r>
    <r>
      <rPr>
        <i/>
        <sz val="9"/>
        <color rgb="FF595959"/>
        <rFont val="Noto Sans CJK SC"/>
        <family val="2"/>
      </rPr>
      <t>월간투입 시트를 보세요</t>
    </r>
    <r>
      <rPr>
        <i/>
        <sz val="9"/>
        <color rgb="FF595959"/>
        <rFont val="Arial"/>
        <family val="2"/>
      </rPr>
      <t>.</t>
    </r>
  </si>
  <si>
    <r>
      <rPr>
        <b/>
        <sz val="14"/>
        <color rgb="FF1F3864"/>
        <rFont val="Noto Sans CJK SC"/>
        <family val="2"/>
      </rPr>
      <t xml:space="preserve">사업 정보  —  예산 </t>
    </r>
    <r>
      <rPr>
        <b/>
        <sz val="14"/>
        <color rgb="FF1F3864"/>
        <rFont val="Arial"/>
        <family val="2"/>
      </rPr>
      <t xml:space="preserve">· </t>
    </r>
    <r>
      <rPr>
        <b/>
        <sz val="14"/>
        <color rgb="FF1F3864"/>
        <rFont val="Noto Sans CJK SC"/>
        <family val="2"/>
      </rPr>
      <t xml:space="preserve">기간 </t>
    </r>
    <r>
      <rPr>
        <b/>
        <sz val="14"/>
        <color rgb="FF1F3864"/>
        <rFont val="Arial"/>
        <family val="2"/>
      </rPr>
      <t xml:space="preserve">· </t>
    </r>
    <r>
      <rPr>
        <b/>
        <sz val="14"/>
        <color rgb="FF1F3864"/>
        <rFont val="Noto Sans CJK SC"/>
        <family val="2"/>
      </rPr>
      <t>이윤</t>
    </r>
  </si>
  <si>
    <r>
      <rPr>
        <i/>
        <sz val="9"/>
        <color rgb="FF595959"/>
        <rFont val="Noto Sans CJK SC"/>
        <family val="2"/>
      </rPr>
      <t>파란색 셀만 입력합니다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수주가 확정된 사업만 등록하세요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한 사업에 여러 팀이 붙어도 한 줄만 만들면 됩니다</t>
    </r>
    <r>
      <rPr>
        <i/>
        <sz val="9"/>
        <color rgb="FF595959"/>
        <rFont val="Arial"/>
        <family val="2"/>
      </rPr>
      <t>.</t>
    </r>
  </si>
  <si>
    <r>
      <rPr>
        <i/>
        <sz val="9"/>
        <color rgb="FF595959"/>
        <rFont val="Noto Sans CJK SC"/>
        <family val="2"/>
      </rPr>
      <t>이윤은 견적서상 이윤을 금액으로 입력합니다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운영</t>
    </r>
    <r>
      <rPr>
        <i/>
        <sz val="9"/>
        <color rgb="FF595959"/>
        <rFont val="Arial"/>
        <family val="2"/>
      </rPr>
      <t>·</t>
    </r>
    <r>
      <rPr>
        <i/>
        <sz val="9"/>
        <color rgb="FF595959"/>
        <rFont val="Noto Sans CJK SC"/>
        <family val="2"/>
      </rPr>
      <t>지원 업무도 한 줄씩 만들되 예산과 이윤은 비워 두세요</t>
    </r>
    <r>
      <rPr>
        <i/>
        <sz val="9"/>
        <color rgb="FF595959"/>
        <rFont val="Arial"/>
        <family val="2"/>
      </rPr>
      <t>.</t>
    </r>
  </si>
  <si>
    <r>
      <rPr>
        <b/>
        <sz val="10"/>
        <color rgb="FFFFFFFF"/>
        <rFont val="Noto Sans CJK SC"/>
        <family val="2"/>
      </rPr>
      <t xml:space="preserve">사업 </t>
    </r>
    <r>
      <rPr>
        <b/>
        <sz val="10"/>
        <color rgb="FFFFFFFF"/>
        <rFont val="Arial"/>
        <family val="2"/>
      </rPr>
      <t xml:space="preserve">/ </t>
    </r>
    <r>
      <rPr>
        <b/>
        <sz val="10"/>
        <color rgb="FFFFFFFF"/>
        <rFont val="Noto Sans CJK SC"/>
        <family val="2"/>
      </rPr>
      <t>업무명</t>
    </r>
  </si>
  <si>
    <t>구분</t>
  </si>
  <si>
    <t>시작월</t>
  </si>
  <si>
    <t>종료월</t>
  </si>
  <si>
    <r>
      <rPr>
        <b/>
        <sz val="10"/>
        <color rgb="FFFFFFFF"/>
        <rFont val="Noto Sans CJK SC"/>
        <family val="2"/>
      </rPr>
      <t xml:space="preserve">기간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개월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</si>
  <si>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예산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원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</si>
  <si>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이윤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원</t>
    </r>
    <r>
      <rPr>
        <b/>
        <sz val="10"/>
        <color rgb="FFFFFFFF"/>
        <rFont val="Arial"/>
        <family val="2"/>
      </rPr>
      <t>)</t>
    </r>
  </si>
  <si>
    <t>이윤율</t>
  </si>
  <si>
    <r>
      <rPr>
        <b/>
        <sz val="10"/>
        <color rgb="FFFFFFFF"/>
        <rFont val="Noto Sans CJK SC"/>
        <family val="2"/>
      </rPr>
      <t xml:space="preserve">총 투입 </t>
    </r>
    <r>
      <rPr>
        <b/>
        <sz val="10"/>
        <color rgb="FFFFFFFF"/>
        <rFont val="Arial"/>
        <family val="2"/>
      </rPr>
      <t>M/M</t>
    </r>
  </si>
  <si>
    <r>
      <rPr>
        <b/>
        <sz val="10"/>
        <color rgb="FFFFFFFF"/>
        <rFont val="Arial"/>
        <family val="2"/>
      </rPr>
      <t>M/M</t>
    </r>
    <r>
      <rPr>
        <b/>
        <sz val="10"/>
        <color rgb="FFFFFFFF"/>
        <rFont val="Noto Sans CJK SC"/>
        <family val="2"/>
      </rPr>
      <t xml:space="preserve">당 예산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원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</si>
  <si>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Arial"/>
        <family val="2"/>
      </rPr>
      <t>M/M</t>
    </r>
    <r>
      <rPr>
        <b/>
        <sz val="10"/>
        <color rgb="FFFFFFFF"/>
        <rFont val="Noto Sans CJK SC"/>
        <family val="2"/>
      </rPr>
      <t xml:space="preserve">당 이윤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원</t>
    </r>
    <r>
      <rPr>
        <b/>
        <sz val="10"/>
        <color rgb="FFFFFFFF"/>
        <rFont val="Arial"/>
        <family val="2"/>
      </rPr>
      <t>)</t>
    </r>
  </si>
  <si>
    <r>
      <rPr>
        <sz val="10"/>
        <color rgb="FF0000FF"/>
        <rFont val="Noto Sans CJK SC"/>
        <family val="2"/>
      </rPr>
      <t xml:space="preserve">차세대 </t>
    </r>
    <r>
      <rPr>
        <sz val="10"/>
        <color rgb="FF0000FF"/>
        <rFont val="Arial"/>
        <family val="2"/>
      </rPr>
      <t xml:space="preserve">ERP </t>
    </r>
    <r>
      <rPr>
        <sz val="10"/>
        <color rgb="FF0000FF"/>
        <rFont val="Noto Sans CJK SC"/>
        <family val="2"/>
      </rPr>
      <t>구축</t>
    </r>
  </si>
  <si>
    <t>사업</t>
  </si>
  <si>
    <r>
      <rPr>
        <sz val="10"/>
        <color rgb="FF0000FF"/>
        <rFont val="Noto Sans CJK SC"/>
        <family val="2"/>
      </rPr>
      <t xml:space="preserve">하반기 고도화 </t>
    </r>
    <r>
      <rPr>
        <sz val="10"/>
        <color rgb="FF0000FF"/>
        <rFont val="Arial"/>
        <family val="2"/>
      </rPr>
      <t>PJT</t>
    </r>
  </si>
  <si>
    <r>
      <rPr>
        <sz val="10"/>
        <color rgb="FF0000FF"/>
        <rFont val="Noto Sans CJK SC"/>
        <family val="2"/>
      </rPr>
      <t xml:space="preserve">채널 개편 </t>
    </r>
    <r>
      <rPr>
        <sz val="10"/>
        <color rgb="FF0000FF"/>
        <rFont val="Arial"/>
        <family val="2"/>
      </rPr>
      <t>PJT</t>
    </r>
  </si>
  <si>
    <t>물류 시스템 고도화</t>
  </si>
  <si>
    <r>
      <rPr>
        <sz val="10"/>
        <color rgb="FF0000FF"/>
        <rFont val="Noto Sans CJK SC"/>
        <family val="2"/>
      </rPr>
      <t xml:space="preserve">데이터 표준화 </t>
    </r>
    <r>
      <rPr>
        <sz val="10"/>
        <color rgb="FF0000FF"/>
        <rFont val="Arial"/>
        <family val="2"/>
      </rPr>
      <t>PJT</t>
    </r>
  </si>
  <si>
    <t>신규 사업 타당성 검토</t>
  </si>
  <si>
    <t>파트너십 발굴</t>
  </si>
  <si>
    <t>중장기 전략 수립</t>
  </si>
  <si>
    <t>월간 실적보고 운영</t>
  </si>
  <si>
    <t>운영</t>
  </si>
  <si>
    <t>파트 상시 운영업무</t>
  </si>
  <si>
    <r>
      <rPr>
        <sz val="10"/>
        <color rgb="FF0000FF"/>
        <rFont val="Noto Sans CJK SC"/>
        <family val="2"/>
      </rPr>
      <t>정산</t>
    </r>
    <r>
      <rPr>
        <sz val="10"/>
        <color rgb="FF0000FF"/>
        <rFont val="Arial"/>
        <family val="2"/>
      </rPr>
      <t>·</t>
    </r>
    <r>
      <rPr>
        <sz val="10"/>
        <color rgb="FF0000FF"/>
        <rFont val="Noto Sans CJK SC"/>
        <family val="2"/>
      </rPr>
      <t>계약 운영</t>
    </r>
  </si>
  <si>
    <t>유지보수 대응</t>
  </si>
  <si>
    <t>경영실적 분석 운영</t>
  </si>
  <si>
    <t>신규 제안 지원</t>
  </si>
  <si>
    <t>지원</t>
  </si>
  <si>
    <t>운영 이관 지원</t>
  </si>
  <si>
    <t>시장조사</t>
  </si>
  <si>
    <t>전사 예산 수립 지원</t>
  </si>
  <si>
    <t>이사회 보고 지원</t>
  </si>
  <si>
    <t>합계</t>
  </si>
  <si>
    <r>
      <rPr>
        <i/>
        <sz val="9"/>
        <color rgb="FF595959"/>
        <rFont val="Noto Sans CJK SC"/>
        <family val="2"/>
      </rPr>
      <t xml:space="preserve">※ 회색 배경 </t>
    </r>
    <r>
      <rPr>
        <i/>
        <sz val="9"/>
        <color rgb="FF595959"/>
        <rFont val="Arial"/>
        <family val="2"/>
      </rPr>
      <t>18</t>
    </r>
    <r>
      <rPr>
        <i/>
        <sz val="9"/>
        <color rgb="FF595959"/>
        <rFont val="Noto Sans CJK SC"/>
        <family val="2"/>
      </rPr>
      <t>개 행</t>
    </r>
    <r>
      <rPr>
        <i/>
        <sz val="9"/>
        <color rgb="FF595959"/>
        <rFont val="Arial"/>
        <family val="2"/>
      </rPr>
      <t>(6~23</t>
    </r>
    <r>
      <rPr>
        <i/>
        <sz val="9"/>
        <color rgb="FF595959"/>
        <rFont val="Noto Sans CJK SC"/>
        <family val="2"/>
      </rPr>
      <t>행</t>
    </r>
    <r>
      <rPr>
        <i/>
        <sz val="9"/>
        <color rgb="FF595959"/>
        <rFont val="Arial"/>
        <family val="2"/>
      </rPr>
      <t>)</t>
    </r>
    <r>
      <rPr>
        <i/>
        <sz val="9"/>
        <color rgb="FF595959"/>
        <rFont val="Noto Sans CJK SC"/>
        <family val="2"/>
      </rPr>
      <t>은 입력 예시입니다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행 전체를 삭제하고 실제 데이터를 넣으세요</t>
    </r>
    <r>
      <rPr>
        <i/>
        <sz val="9"/>
        <color rgb="FF595959"/>
        <rFont val="Arial"/>
        <family val="2"/>
      </rPr>
      <t>.</t>
    </r>
  </si>
  <si>
    <r>
      <rPr>
        <i/>
        <sz val="9"/>
        <color rgb="FF595959"/>
        <rFont val="Noto Sans CJK SC"/>
        <family val="2"/>
      </rPr>
      <t>※ 수주 확정 사업만 등록합니다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제안 중이거나 예정인 건은 넣지 마세요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달성률이 왜곡됩니다</t>
    </r>
    <r>
      <rPr>
        <i/>
        <sz val="9"/>
        <color rgb="FF595959"/>
        <rFont val="Arial"/>
        <family val="2"/>
      </rPr>
      <t>.</t>
    </r>
  </si>
  <si>
    <r>
      <rPr>
        <i/>
        <sz val="9"/>
        <color rgb="FF595959"/>
        <rFont val="Noto Sans CJK SC"/>
        <family val="2"/>
      </rPr>
      <t>※ 이윤은 견적서상 이윤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Noto Sans CJK SC"/>
        <family val="2"/>
      </rPr>
      <t>금액</t>
    </r>
    <r>
      <rPr>
        <i/>
        <sz val="9"/>
        <color rgb="FF595959"/>
        <rFont val="Arial"/>
        <family val="2"/>
      </rPr>
      <t>)</t>
    </r>
    <r>
      <rPr>
        <i/>
        <sz val="9"/>
        <color rgb="FF595959"/>
        <rFont val="Noto Sans CJK SC"/>
        <family val="2"/>
      </rPr>
      <t>입니다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 xml:space="preserve">이윤율과 </t>
    </r>
    <r>
      <rPr>
        <i/>
        <sz val="9"/>
        <color rgb="FF595959"/>
        <rFont val="Arial"/>
        <family val="2"/>
      </rPr>
      <t>M/M</t>
    </r>
    <r>
      <rPr>
        <i/>
        <sz val="9"/>
        <color rgb="FF595959"/>
        <rFont val="Noto Sans CJK SC"/>
        <family val="2"/>
      </rPr>
      <t>당 지표는 자동 계산됩니다</t>
    </r>
    <r>
      <rPr>
        <i/>
        <sz val="9"/>
        <color rgb="FF595959"/>
        <rFont val="Arial"/>
        <family val="2"/>
      </rPr>
      <t>.</t>
    </r>
  </si>
  <si>
    <r>
      <rPr>
        <i/>
        <sz val="9"/>
        <color rgb="FF595959"/>
        <rFont val="Noto Sans CJK SC"/>
        <family val="2"/>
      </rPr>
      <t xml:space="preserve">※ 총 투입 </t>
    </r>
    <r>
      <rPr>
        <i/>
        <sz val="9"/>
        <color rgb="FF595959"/>
        <rFont val="Arial"/>
        <family val="2"/>
      </rPr>
      <t>M/M</t>
    </r>
    <r>
      <rPr>
        <i/>
        <sz val="9"/>
        <color rgb="FF595959"/>
        <rFont val="Noto Sans CJK SC"/>
        <family val="2"/>
      </rPr>
      <t>은 월간투입 시트에서 자동으로 채워집니다</t>
    </r>
    <r>
      <rPr>
        <i/>
        <sz val="9"/>
        <color rgb="FF595959"/>
        <rFont val="Arial"/>
        <family val="2"/>
      </rPr>
      <t>.</t>
    </r>
  </si>
  <si>
    <t>월간 투입률 입력</t>
  </si>
  <si>
    <r>
      <rPr>
        <i/>
        <sz val="9"/>
        <color rgb="FF595959"/>
        <rFont val="Noto Sans CJK SC"/>
        <family val="2"/>
      </rPr>
      <t>담당자와 사업명은 드롭다운에서 고르고</t>
    </r>
    <r>
      <rPr>
        <i/>
        <sz val="9"/>
        <color rgb="FF595959"/>
        <rFont val="Arial"/>
        <family val="2"/>
      </rPr>
      <t xml:space="preserve">, </t>
    </r>
    <r>
      <rPr>
        <i/>
        <sz val="9"/>
        <color rgb="FF595959"/>
        <rFont val="Noto Sans CJK SC"/>
        <family val="2"/>
      </rPr>
      <t>월별 투입률만 입력합니다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팀은 자동으로 붙습니다</t>
    </r>
    <r>
      <rPr>
        <i/>
        <sz val="9"/>
        <color rgb="FF595959"/>
        <rFont val="Arial"/>
        <family val="2"/>
      </rPr>
      <t>.</t>
    </r>
  </si>
  <si>
    <r>
      <rPr>
        <b/>
        <sz val="9"/>
        <color rgb="FFC00000"/>
        <rFont val="Noto Sans CJK SC"/>
        <family val="2"/>
      </rPr>
      <t xml:space="preserve">★ 투입률은 </t>
    </r>
    <r>
      <rPr>
        <b/>
        <sz val="9"/>
        <color rgb="FFC00000"/>
        <rFont val="Arial"/>
        <family val="2"/>
      </rPr>
      <t>'</t>
    </r>
    <r>
      <rPr>
        <b/>
        <sz val="9"/>
        <color rgb="FFC00000"/>
        <rFont val="Noto Sans CJK SC"/>
        <family val="2"/>
      </rPr>
      <t>정규 근무시간</t>
    </r>
    <r>
      <rPr>
        <b/>
        <sz val="9"/>
        <color rgb="FFC00000"/>
        <rFont val="Arial"/>
        <family val="2"/>
      </rPr>
      <t>(8</t>
    </r>
    <r>
      <rPr>
        <b/>
        <sz val="9"/>
        <color rgb="FFC00000"/>
        <rFont val="Noto Sans CJK SC"/>
        <family val="2"/>
      </rPr>
      <t>시간</t>
    </r>
    <r>
      <rPr>
        <b/>
        <sz val="9"/>
        <color rgb="FFC00000"/>
        <rFont val="Arial"/>
        <family val="2"/>
      </rPr>
      <t xml:space="preserve">) </t>
    </r>
    <r>
      <rPr>
        <b/>
        <sz val="9"/>
        <color rgb="FFC00000"/>
        <rFont val="Noto Sans CJK SC"/>
        <family val="2"/>
      </rPr>
      <t>대비 실제로 쓴 비율</t>
    </r>
    <r>
      <rPr>
        <b/>
        <sz val="9"/>
        <color rgb="FFC00000"/>
        <rFont val="Arial"/>
        <family val="2"/>
      </rPr>
      <t>'</t>
    </r>
    <r>
      <rPr>
        <b/>
        <sz val="9"/>
        <color rgb="FFC00000"/>
        <rFont val="Noto Sans CJK SC"/>
        <family val="2"/>
      </rPr>
      <t>입니다</t>
    </r>
    <r>
      <rPr>
        <b/>
        <sz val="9"/>
        <color rgb="FFC00000"/>
        <rFont val="Arial"/>
        <family val="2"/>
      </rPr>
      <t xml:space="preserve">. </t>
    </r>
    <r>
      <rPr>
        <b/>
        <sz val="9"/>
        <color rgb="FFC00000"/>
        <rFont val="Noto Sans CJK SC"/>
        <family val="2"/>
      </rPr>
      <t>야근</t>
    </r>
    <r>
      <rPr>
        <b/>
        <sz val="9"/>
        <color rgb="FFC00000"/>
        <rFont val="Arial"/>
        <family val="2"/>
      </rPr>
      <t>·</t>
    </r>
    <r>
      <rPr>
        <b/>
        <sz val="9"/>
        <color rgb="FFC00000"/>
        <rFont val="Noto Sans CJK SC"/>
        <family val="2"/>
      </rPr>
      <t>주말 근무도 그대로 반영해 주세요</t>
    </r>
    <r>
      <rPr>
        <b/>
        <sz val="9"/>
        <color rgb="FFC00000"/>
        <rFont val="Arial"/>
        <family val="2"/>
      </rPr>
      <t xml:space="preserve">. </t>
    </r>
    <r>
      <rPr>
        <b/>
        <sz val="9"/>
        <color rgb="FFC00000"/>
        <rFont val="Noto Sans CJK SC"/>
        <family val="2"/>
      </rPr>
      <t>예</t>
    </r>
    <r>
      <rPr>
        <b/>
        <sz val="9"/>
        <color rgb="FFC00000"/>
        <rFont val="Arial"/>
        <family val="2"/>
      </rPr>
      <t xml:space="preserve">) </t>
    </r>
    <r>
      <rPr>
        <b/>
        <sz val="9"/>
        <color rgb="FFC00000"/>
        <rFont val="Noto Sans CJK SC"/>
        <family val="2"/>
      </rPr>
      <t xml:space="preserve">정규시간을 다 쓰고 </t>
    </r>
    <r>
      <rPr>
        <b/>
        <sz val="9"/>
        <color rgb="FFC00000"/>
        <rFont val="Arial"/>
        <family val="2"/>
      </rPr>
      <t>2</t>
    </r>
    <r>
      <rPr>
        <b/>
        <sz val="9"/>
        <color rgb="FFC00000"/>
        <rFont val="Noto Sans CJK SC"/>
        <family val="2"/>
      </rPr>
      <t xml:space="preserve">시간 더 했으면 합계 </t>
    </r>
    <r>
      <rPr>
        <b/>
        <sz val="9"/>
        <color rgb="FFC00000"/>
        <rFont val="Arial"/>
        <family val="2"/>
      </rPr>
      <t xml:space="preserve">125%. </t>
    </r>
    <r>
      <rPr>
        <b/>
        <sz val="9"/>
        <color rgb="FFC00000"/>
        <rFont val="Noto Sans CJK SC"/>
        <family val="2"/>
      </rPr>
      <t xml:space="preserve">합계가 </t>
    </r>
    <r>
      <rPr>
        <b/>
        <sz val="9"/>
        <color rgb="FFC00000"/>
        <rFont val="Arial"/>
        <family val="2"/>
      </rPr>
      <t>100%</t>
    </r>
    <r>
      <rPr>
        <b/>
        <sz val="9"/>
        <color rgb="FFC00000"/>
        <rFont val="Noto Sans CJK SC"/>
        <family val="2"/>
      </rPr>
      <t>를 넘어도 됩니다</t>
    </r>
    <r>
      <rPr>
        <b/>
        <sz val="9"/>
        <color rgb="FFC00000"/>
        <rFont val="Arial"/>
        <family val="2"/>
      </rPr>
      <t>.</t>
    </r>
  </si>
  <si>
    <t>기준 시작월</t>
  </si>
  <si>
    <r>
      <rPr>
        <i/>
        <sz val="9"/>
        <color rgb="FF595959"/>
        <rFont val="Noto Sans CJK SC"/>
        <family val="2"/>
      </rPr>
      <t>← 이 값만 바꾸면 모든 시트의 월 헤더가 함께 이동합니다</t>
    </r>
    <r>
      <rPr>
        <i/>
        <sz val="9"/>
        <color rgb="FF595959"/>
        <rFont val="Arial"/>
        <family val="2"/>
      </rPr>
      <t>.</t>
    </r>
  </si>
  <si>
    <t>팀</t>
  </si>
  <si>
    <t>담당자</t>
  </si>
  <si>
    <r>
      <rPr>
        <b/>
        <sz val="10"/>
        <color rgb="FFFFFFFF"/>
        <rFont val="Noto Sans CJK SC"/>
        <family val="2"/>
      </rPr>
      <t xml:space="preserve">합계 </t>
    </r>
    <r>
      <rPr>
        <b/>
        <sz val="10"/>
        <color rgb="FFFFFFFF"/>
        <rFont val="Arial"/>
        <family val="2"/>
      </rPr>
      <t>M/M</t>
    </r>
  </si>
  <si>
    <r>
      <rPr>
        <b/>
        <sz val="10"/>
        <color rgb="FFFFFFFF"/>
        <rFont val="Noto Sans CJK SC"/>
        <family val="2"/>
      </rPr>
      <t xml:space="preserve">귀속 예산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원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</si>
  <si>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귀속 이윤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원</t>
    </r>
    <r>
      <rPr>
        <b/>
        <sz val="10"/>
        <color rgb="FFFFFFFF"/>
        <rFont val="Arial"/>
        <family val="2"/>
      </rPr>
      <t>)</t>
    </r>
  </si>
  <si>
    <t>홍길동</t>
  </si>
  <si>
    <t>김영수</t>
  </si>
  <si>
    <t>박지은</t>
  </si>
  <si>
    <t>최민호</t>
  </si>
  <si>
    <t>정수아</t>
  </si>
  <si>
    <t>김철수</t>
  </si>
  <si>
    <t>이하늘</t>
  </si>
  <si>
    <t>오세훈</t>
  </si>
  <si>
    <t>서정민</t>
  </si>
  <si>
    <t>이영희</t>
  </si>
  <si>
    <t>한지훈</t>
  </si>
  <si>
    <t>문가영</t>
  </si>
  <si>
    <t>박민수</t>
  </si>
  <si>
    <t>윤소라</t>
  </si>
  <si>
    <t>강대현</t>
  </si>
  <si>
    <t>전사 합계</t>
  </si>
  <si>
    <r>
      <rPr>
        <b/>
        <sz val="11"/>
        <color rgb="FF1F3864"/>
        <rFont val="Arial"/>
        <family val="2"/>
      </rPr>
      <t xml:space="preserve">[ </t>
    </r>
    <r>
      <rPr>
        <b/>
        <sz val="11"/>
        <color rgb="FF1F3864"/>
        <rFont val="Noto Sans CJK SC"/>
        <family val="2"/>
      </rPr>
      <t xml:space="preserve">담당자별 월 투입률 합계 — 입력 검증용 </t>
    </r>
    <r>
      <rPr>
        <b/>
        <sz val="11"/>
        <color rgb="FF1F3864"/>
        <rFont val="Arial"/>
        <family val="2"/>
      </rPr>
      <t>]</t>
    </r>
  </si>
  <si>
    <r>
      <rPr>
        <i/>
        <sz val="9"/>
        <color rgb="FF595959"/>
        <rFont val="Noto Sans CJK SC"/>
        <family val="2"/>
      </rPr>
      <t>정규 근무시간 대비 비율입니다</t>
    </r>
    <r>
      <rPr>
        <i/>
        <sz val="9"/>
        <color rgb="FF595959"/>
        <rFont val="Arial"/>
        <family val="2"/>
      </rPr>
      <t xml:space="preserve">. 120% </t>
    </r>
    <r>
      <rPr>
        <i/>
        <sz val="9"/>
        <color rgb="FF595959"/>
        <rFont val="Noto Sans CJK SC"/>
        <family val="2"/>
      </rPr>
      <t>초과는 빨강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Noto Sans CJK SC"/>
        <family val="2"/>
      </rPr>
      <t>과부하</t>
    </r>
    <r>
      <rPr>
        <i/>
        <sz val="9"/>
        <color rgb="FF595959"/>
        <rFont val="Arial"/>
        <family val="2"/>
      </rPr>
      <t xml:space="preserve">), 70% </t>
    </r>
    <r>
      <rPr>
        <i/>
        <sz val="9"/>
        <color rgb="FF595959"/>
        <rFont val="Noto Sans CJK SC"/>
        <family val="2"/>
      </rPr>
      <t>미만은 초록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Noto Sans CJK SC"/>
        <family val="2"/>
      </rPr>
      <t>여유</t>
    </r>
    <r>
      <rPr>
        <i/>
        <sz val="9"/>
        <color rgb="FF595959"/>
        <rFont val="Arial"/>
        <family val="2"/>
      </rPr>
      <t>)</t>
    </r>
    <r>
      <rPr>
        <i/>
        <sz val="9"/>
        <color rgb="FF595959"/>
        <rFont val="Noto Sans CJK SC"/>
        <family val="2"/>
      </rPr>
      <t>으로 표시됩니다</t>
    </r>
    <r>
      <rPr>
        <i/>
        <sz val="9"/>
        <color rgb="FF595959"/>
        <rFont val="Arial"/>
        <family val="2"/>
      </rPr>
      <t>.</t>
    </r>
  </si>
  <si>
    <r>
      <rPr>
        <b/>
        <sz val="10"/>
        <color rgb="FFFFFFFF"/>
        <rFont val="Noto Sans CJK SC"/>
        <family val="2"/>
      </rPr>
      <t xml:space="preserve">연간 </t>
    </r>
    <r>
      <rPr>
        <b/>
        <sz val="10"/>
        <color rgb="FFFFFFFF"/>
        <rFont val="Arial"/>
        <family val="2"/>
      </rPr>
      <t>M/M</t>
    </r>
  </si>
  <si>
    <r>
      <rPr>
        <i/>
        <sz val="9"/>
        <color rgb="FF595959"/>
        <rFont val="Noto Sans CJK SC"/>
        <family val="2"/>
      </rPr>
      <t xml:space="preserve">※ 회색 배경 </t>
    </r>
    <r>
      <rPr>
        <i/>
        <sz val="9"/>
        <color rgb="FF595959"/>
        <rFont val="Arial"/>
        <family val="2"/>
      </rPr>
      <t>34</t>
    </r>
    <r>
      <rPr>
        <i/>
        <sz val="9"/>
        <color rgb="FF595959"/>
        <rFont val="Noto Sans CJK SC"/>
        <family val="2"/>
      </rPr>
      <t>개 행</t>
    </r>
    <r>
      <rPr>
        <i/>
        <sz val="9"/>
        <color rgb="FF595959"/>
        <rFont val="Arial"/>
        <family val="2"/>
      </rPr>
      <t>(8~41</t>
    </r>
    <r>
      <rPr>
        <i/>
        <sz val="9"/>
        <color rgb="FF595959"/>
        <rFont val="Noto Sans CJK SC"/>
        <family val="2"/>
      </rPr>
      <t>행</t>
    </r>
    <r>
      <rPr>
        <i/>
        <sz val="9"/>
        <color rgb="FF595959"/>
        <rFont val="Arial"/>
        <family val="2"/>
      </rPr>
      <t>)</t>
    </r>
    <r>
      <rPr>
        <i/>
        <sz val="9"/>
        <color rgb="FF595959"/>
        <rFont val="Noto Sans CJK SC"/>
        <family val="2"/>
      </rPr>
      <t>은 입력 예시입니다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행 전체를 삭제하고 실제 데이터를 넣으세요</t>
    </r>
    <r>
      <rPr>
        <i/>
        <sz val="9"/>
        <color rgb="FF595959"/>
        <rFont val="Arial"/>
        <family val="2"/>
      </rPr>
      <t>.</t>
    </r>
  </si>
  <si>
    <r>
      <rPr>
        <i/>
        <sz val="9"/>
        <color rgb="FF595959"/>
        <rFont val="Noto Sans CJK SC"/>
        <family val="2"/>
      </rPr>
      <t>※ 담당자는 팀별분석 시트의 인력 마스터에</t>
    </r>
    <r>
      <rPr>
        <i/>
        <sz val="9"/>
        <color rgb="FF595959"/>
        <rFont val="Arial"/>
        <family val="2"/>
      </rPr>
      <t xml:space="preserve">, </t>
    </r>
    <r>
      <rPr>
        <i/>
        <sz val="9"/>
        <color rgb="FF595959"/>
        <rFont val="Noto Sans CJK SC"/>
        <family val="2"/>
      </rPr>
      <t>사업명은 사업정보 시트에 먼저 등록해야 드롭다운에 나옵니다</t>
    </r>
    <r>
      <rPr>
        <i/>
        <sz val="9"/>
        <color rgb="FF595959"/>
        <rFont val="Arial"/>
        <family val="2"/>
      </rPr>
      <t>.</t>
    </r>
  </si>
  <si>
    <r>
      <rPr>
        <i/>
        <sz val="9"/>
        <color rgb="FF595959"/>
        <rFont val="Noto Sans CJK SC"/>
        <family val="2"/>
      </rPr>
      <t>※ 한 사람이 여러 사업을 하면 사업별로 행을 나눠 입력합니다</t>
    </r>
    <r>
      <rPr>
        <i/>
        <sz val="9"/>
        <color rgb="FF595959"/>
        <rFont val="Arial"/>
        <family val="2"/>
      </rPr>
      <t>.</t>
    </r>
  </si>
  <si>
    <r>
      <rPr>
        <i/>
        <sz val="9"/>
        <color rgb="FF595959"/>
        <rFont val="Noto Sans CJK SC"/>
        <family val="2"/>
      </rPr>
      <t xml:space="preserve">※ 위 검증표에서 </t>
    </r>
    <r>
      <rPr>
        <i/>
        <sz val="9"/>
        <color rgb="FF595959"/>
        <rFont val="Arial"/>
        <family val="2"/>
      </rPr>
      <t>100%</t>
    </r>
    <r>
      <rPr>
        <i/>
        <sz val="9"/>
        <color rgb="FF595959"/>
        <rFont val="Noto Sans CJK SC"/>
        <family val="2"/>
      </rPr>
      <t>를 넘는 달은 야근</t>
    </r>
    <r>
      <rPr>
        <i/>
        <sz val="9"/>
        <color rgb="FF595959"/>
        <rFont val="Arial"/>
        <family val="2"/>
      </rPr>
      <t>·</t>
    </r>
    <r>
      <rPr>
        <i/>
        <sz val="9"/>
        <color rgb="FF595959"/>
        <rFont val="Noto Sans CJK SC"/>
        <family val="2"/>
      </rPr>
      <t>주말 근무가 있었다는 뜻입니다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오타가 아닌지도 함께 확인하세요</t>
    </r>
    <r>
      <rPr>
        <i/>
        <sz val="9"/>
        <color rgb="FF595959"/>
        <rFont val="Arial"/>
        <family val="2"/>
      </rPr>
      <t>.</t>
    </r>
  </si>
  <si>
    <r>
      <rPr>
        <b/>
        <sz val="14"/>
        <color rgb="FF1F3864"/>
        <rFont val="Noto Sans CJK SC"/>
        <family val="2"/>
      </rPr>
      <t xml:space="preserve">팀별 컨디션 </t>
    </r>
    <r>
      <rPr>
        <b/>
        <sz val="14"/>
        <color rgb="FF1F3864"/>
        <rFont val="Arial"/>
        <family val="2"/>
      </rPr>
      <t xml:space="preserve">&amp; </t>
    </r>
    <r>
      <rPr>
        <b/>
        <sz val="14"/>
        <color rgb="FF1F3864"/>
        <rFont val="Noto Sans CJK SC"/>
        <family val="2"/>
      </rPr>
      <t>수주</t>
    </r>
    <r>
      <rPr>
        <b/>
        <sz val="14"/>
        <color rgb="FF1F3864"/>
        <rFont val="Arial"/>
        <family val="2"/>
      </rPr>
      <t>·</t>
    </r>
    <r>
      <rPr>
        <b/>
        <sz val="14"/>
        <color rgb="FF1F3864"/>
        <rFont val="Noto Sans CJK SC"/>
        <family val="2"/>
      </rPr>
      <t>이윤 분석</t>
    </r>
  </si>
  <si>
    <r>
      <rPr>
        <i/>
        <sz val="9"/>
        <color rgb="FF595959"/>
        <rFont val="Noto Sans CJK SC"/>
        <family val="2"/>
      </rPr>
      <t>노란색 셀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Noto Sans CJK SC"/>
        <family val="2"/>
      </rPr>
      <t>유효가동률</t>
    </r>
    <r>
      <rPr>
        <i/>
        <sz val="9"/>
        <color rgb="FF595959"/>
        <rFont val="Arial"/>
        <family val="2"/>
      </rPr>
      <t>·</t>
    </r>
    <r>
      <rPr>
        <i/>
        <sz val="9"/>
        <color rgb="FF595959"/>
        <rFont val="Noto Sans CJK SC"/>
        <family val="2"/>
      </rPr>
      <t>기준월</t>
    </r>
    <r>
      <rPr>
        <i/>
        <sz val="9"/>
        <color rgb="FF595959"/>
        <rFont val="Arial"/>
        <family val="2"/>
      </rPr>
      <t>·</t>
    </r>
    <r>
      <rPr>
        <i/>
        <sz val="9"/>
        <color rgb="FF595959"/>
        <rFont val="Noto Sans CJK SC"/>
        <family val="2"/>
      </rPr>
      <t>인원수</t>
    </r>
    <r>
      <rPr>
        <i/>
        <sz val="9"/>
        <color rgb="FF595959"/>
        <rFont val="Arial"/>
        <family val="2"/>
      </rPr>
      <t>·</t>
    </r>
    <r>
      <rPr>
        <i/>
        <sz val="9"/>
        <color rgb="FF595959"/>
        <rFont val="Noto Sans CJK SC"/>
        <family val="2"/>
      </rPr>
      <t>목표 수주액</t>
    </r>
    <r>
      <rPr>
        <i/>
        <sz val="9"/>
        <color rgb="FF595959"/>
        <rFont val="Arial"/>
        <family val="2"/>
      </rPr>
      <t>)</t>
    </r>
    <r>
      <rPr>
        <i/>
        <sz val="9"/>
        <color rgb="FF595959"/>
        <rFont val="Noto Sans CJK SC"/>
        <family val="2"/>
      </rPr>
      <t>만 입력하면 나머지는 자동 계산됩니다</t>
    </r>
    <r>
      <rPr>
        <i/>
        <sz val="9"/>
        <color rgb="FF595959"/>
        <rFont val="Arial"/>
        <family val="2"/>
      </rPr>
      <t>.</t>
    </r>
  </si>
  <si>
    <t>유효가동률</t>
  </si>
  <si>
    <r>
      <rPr>
        <i/>
        <sz val="9"/>
        <color rgb="FF595959"/>
        <rFont val="Noto Sans CJK SC"/>
        <family val="2"/>
      </rPr>
      <t>연차</t>
    </r>
    <r>
      <rPr>
        <i/>
        <sz val="9"/>
        <color rgb="FF595959"/>
        <rFont val="Arial"/>
        <family val="2"/>
      </rPr>
      <t>·</t>
    </r>
    <r>
      <rPr>
        <i/>
        <sz val="9"/>
        <color rgb="FF595959"/>
        <rFont val="Noto Sans CJK SC"/>
        <family val="2"/>
      </rPr>
      <t>교육</t>
    </r>
    <r>
      <rPr>
        <i/>
        <sz val="9"/>
        <color rgb="FF595959"/>
        <rFont val="Arial"/>
        <family val="2"/>
      </rPr>
      <t>·</t>
    </r>
    <r>
      <rPr>
        <i/>
        <sz val="9"/>
        <color rgb="FF595959"/>
        <rFont val="Noto Sans CJK SC"/>
        <family val="2"/>
      </rPr>
      <t>전사 회의를 뺀 실제 업무 가능 비율</t>
    </r>
    <r>
      <rPr>
        <i/>
        <sz val="9"/>
        <color rgb="FF595959"/>
        <rFont val="Arial"/>
        <family val="2"/>
      </rPr>
      <t>. 1</t>
    </r>
    <r>
      <rPr>
        <i/>
        <sz val="9"/>
        <color rgb="FF595959"/>
        <rFont val="Noto Sans CJK SC"/>
        <family val="2"/>
      </rPr>
      <t xml:space="preserve">명의 월 가용 </t>
    </r>
    <r>
      <rPr>
        <i/>
        <sz val="9"/>
        <color rgb="FF595959"/>
        <rFont val="Arial"/>
        <family val="2"/>
      </rPr>
      <t xml:space="preserve">M/M = 1.0 × </t>
    </r>
    <r>
      <rPr>
        <i/>
        <sz val="9"/>
        <color rgb="FF595959"/>
        <rFont val="Noto Sans CJK SC"/>
        <family val="2"/>
      </rPr>
      <t>이 값</t>
    </r>
  </si>
  <si>
    <r>
      <rPr>
        <b/>
        <sz val="10"/>
        <rFont val="Noto Sans CJK SC"/>
        <family val="2"/>
      </rPr>
      <t xml:space="preserve">기준월 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경과 월수</t>
    </r>
    <r>
      <rPr>
        <b/>
        <sz val="10"/>
        <rFont val="Arial"/>
        <family val="2"/>
      </rPr>
      <t>)</t>
    </r>
  </si>
  <si>
    <r>
      <rPr>
        <i/>
        <sz val="9"/>
        <color rgb="FF595959"/>
        <rFont val="Noto Sans CJK SC"/>
        <family val="2"/>
      </rPr>
      <t>올해 몇 개월이 지났는지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수주 달성률과 비교할 기간 진도율 계산에 씁니다</t>
    </r>
    <r>
      <rPr>
        <i/>
        <sz val="9"/>
        <color rgb="FF595959"/>
        <rFont val="Arial"/>
        <family val="2"/>
      </rPr>
      <t>.</t>
    </r>
  </si>
  <si>
    <r>
      <rPr>
        <i/>
        <sz val="9"/>
        <color rgb="FF595959"/>
        <rFont val="Noto Sans CJK SC"/>
        <family val="2"/>
      </rPr>
      <t>산술적으로 이만큼은 수주했어야 정상이라는 참고선입니다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판정이 아닌 진도 비교용</t>
    </r>
    <r>
      <rPr>
        <i/>
        <sz val="9"/>
        <color rgb="FF595959"/>
        <rFont val="Arial"/>
        <family val="2"/>
      </rPr>
      <t>.</t>
    </r>
  </si>
  <si>
    <t>⓪ 인력 마스터</t>
  </si>
  <si>
    <r>
      <rPr>
        <i/>
        <sz val="9"/>
        <color rgb="FF595959"/>
        <rFont val="Noto Sans CJK SC"/>
        <family val="2"/>
      </rPr>
      <t>여기 등록한 이름이 월간투입 시트 드롭다운에 나옵니다</t>
    </r>
    <r>
      <rPr>
        <i/>
        <sz val="9"/>
        <color rgb="FF595959"/>
        <rFont val="Arial"/>
        <family val="2"/>
      </rPr>
      <t>.</t>
    </r>
  </si>
  <si>
    <t>① 팀 구성</t>
  </si>
  <si>
    <t>No</t>
  </si>
  <si>
    <t>소속 팀</t>
  </si>
  <si>
    <r>
      <rPr>
        <b/>
        <sz val="10"/>
        <color rgb="FFFFFFFF"/>
        <rFont val="Noto Sans CJK SC"/>
        <family val="2"/>
      </rPr>
      <t xml:space="preserve">인원수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명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</si>
  <si>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월 가용 </t>
    </r>
    <r>
      <rPr>
        <b/>
        <sz val="10"/>
        <color rgb="FFFFFFFF"/>
        <rFont val="Arial"/>
        <family val="2"/>
      </rPr>
      <t>M/M</t>
    </r>
  </si>
  <si>
    <r>
      <rPr>
        <b/>
        <sz val="10"/>
        <color rgb="FFFFFFFF"/>
        <rFont val="Noto Sans CJK SC"/>
        <family val="2"/>
      </rPr>
      <t xml:space="preserve">연간 가용 </t>
    </r>
    <r>
      <rPr>
        <b/>
        <sz val="10"/>
        <color rgb="FFFFFFFF"/>
        <rFont val="Arial"/>
        <family val="2"/>
      </rPr>
      <t>M/M</t>
    </r>
  </si>
  <si>
    <r>
      <rPr>
        <b/>
        <sz val="10"/>
        <color rgb="FFFFFFFF"/>
        <rFont val="Noto Sans CJK SC"/>
        <family val="2"/>
      </rPr>
      <t xml:space="preserve">연간 목표 수주액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원</t>
    </r>
    <r>
      <rPr>
        <b/>
        <sz val="10"/>
        <color rgb="FFFFFFFF"/>
        <rFont val="Arial"/>
        <family val="2"/>
      </rPr>
      <t>)</t>
    </r>
  </si>
  <si>
    <r>
      <rPr>
        <sz val="10"/>
        <color rgb="FF0000FF"/>
        <rFont val="Noto Sans CJK SC"/>
        <family val="2"/>
      </rPr>
      <t>사업운영팀 기획</t>
    </r>
    <r>
      <rPr>
        <sz val="10"/>
        <color rgb="FF0000FF"/>
        <rFont val="Arial"/>
        <family val="2"/>
      </rPr>
      <t>1</t>
    </r>
    <r>
      <rPr>
        <sz val="10"/>
        <color rgb="FF0000FF"/>
        <rFont val="Noto Sans CJK SC"/>
        <family val="2"/>
      </rPr>
      <t>파트</t>
    </r>
  </si>
  <si>
    <r>
      <rPr>
        <sz val="10"/>
        <color rgb="FF0000FF"/>
        <rFont val="Noto Sans CJK SC"/>
        <family val="2"/>
      </rPr>
      <t>사업운영팀 기획</t>
    </r>
    <r>
      <rPr>
        <sz val="10"/>
        <color rgb="FF0000FF"/>
        <rFont val="Arial"/>
        <family val="2"/>
      </rPr>
      <t>2</t>
    </r>
    <r>
      <rPr>
        <sz val="10"/>
        <color rgb="FF0000FF"/>
        <rFont val="Noto Sans CJK SC"/>
        <family val="2"/>
      </rPr>
      <t>파트</t>
    </r>
  </si>
  <si>
    <t>신사업팀</t>
  </si>
  <si>
    <t>경영본부 사업기획실</t>
  </si>
  <si>
    <r>
      <rPr>
        <i/>
        <sz val="9"/>
        <color rgb="FF595959"/>
        <rFont val="Noto Sans CJK SC"/>
        <family val="2"/>
      </rPr>
      <t>※ 연간 목표 수주액</t>
    </r>
    <r>
      <rPr>
        <i/>
        <sz val="9"/>
        <color rgb="FF595959"/>
        <rFont val="Arial"/>
        <family val="2"/>
      </rPr>
      <t xml:space="preserve">: </t>
    </r>
    <r>
      <rPr>
        <i/>
        <sz val="9"/>
        <color rgb="FF595959"/>
        <rFont val="Noto Sans CJK SC"/>
        <family val="2"/>
      </rPr>
      <t>경영진이 부여한 연간 수주 목표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 xml:space="preserve">목표가 없는 조직은 </t>
    </r>
    <r>
      <rPr>
        <i/>
        <sz val="9"/>
        <color rgb="FF595959"/>
        <rFont val="Arial"/>
        <family val="2"/>
      </rPr>
      <t>0</t>
    </r>
    <r>
      <rPr>
        <i/>
        <sz val="9"/>
        <color rgb="FF595959"/>
        <rFont val="Noto Sans CJK SC"/>
        <family val="2"/>
      </rPr>
      <t>으로 두세요</t>
    </r>
    <r>
      <rPr>
        <i/>
        <sz val="9"/>
        <color rgb="FF595959"/>
        <rFont val="Arial"/>
        <family val="2"/>
      </rPr>
      <t>.</t>
    </r>
  </si>
  <si>
    <r>
      <rPr>
        <b/>
        <sz val="9"/>
        <color rgb="FFC00000"/>
        <rFont val="Noto Sans CJK SC"/>
        <family val="2"/>
      </rPr>
      <t>★ 팀 추가</t>
    </r>
    <r>
      <rPr>
        <b/>
        <sz val="9"/>
        <color rgb="FFC00000"/>
        <rFont val="Arial"/>
        <family val="2"/>
      </rPr>
      <t xml:space="preserve">: </t>
    </r>
    <r>
      <rPr>
        <b/>
        <sz val="9"/>
        <color rgb="FFC00000"/>
        <rFont val="Noto Sans CJK SC"/>
        <family val="2"/>
      </rPr>
      <t>빈 슬롯</t>
    </r>
    <r>
      <rPr>
        <b/>
        <sz val="9"/>
        <color rgb="FFC00000"/>
        <rFont val="Arial"/>
        <family val="2"/>
      </rPr>
      <t>(14~17</t>
    </r>
    <r>
      <rPr>
        <b/>
        <sz val="9"/>
        <color rgb="FFC00000"/>
        <rFont val="Noto Sans CJK SC"/>
        <family val="2"/>
      </rPr>
      <t>행</t>
    </r>
    <r>
      <rPr>
        <b/>
        <sz val="9"/>
        <color rgb="FFC00000"/>
        <rFont val="Arial"/>
        <family val="2"/>
      </rPr>
      <t>)</t>
    </r>
    <r>
      <rPr>
        <b/>
        <sz val="9"/>
        <color rgb="FFC00000"/>
        <rFont val="Noto Sans CJK SC"/>
        <family val="2"/>
      </rPr>
      <t>에 팀명</t>
    </r>
    <r>
      <rPr>
        <b/>
        <sz val="9"/>
        <color rgb="FFC00000"/>
        <rFont val="Arial"/>
        <family val="2"/>
      </rPr>
      <t>·</t>
    </r>
    <r>
      <rPr>
        <b/>
        <sz val="9"/>
        <color rgb="FFC00000"/>
        <rFont val="Noto Sans CJK SC"/>
        <family val="2"/>
      </rPr>
      <t>인원수</t>
    </r>
    <r>
      <rPr>
        <b/>
        <sz val="9"/>
        <color rgb="FFC00000"/>
        <rFont val="Arial"/>
        <family val="2"/>
      </rPr>
      <t>·</t>
    </r>
    <r>
      <rPr>
        <b/>
        <sz val="9"/>
        <color rgb="FFC00000"/>
        <rFont val="Noto Sans CJK SC"/>
        <family val="2"/>
      </rPr>
      <t>목표만 입력하면 아래 모든 블록과 대시보드에 자동 반영됩니다</t>
    </r>
    <r>
      <rPr>
        <b/>
        <sz val="9"/>
        <color rgb="FFC00000"/>
        <rFont val="Arial"/>
        <family val="2"/>
      </rPr>
      <t xml:space="preserve">. </t>
    </r>
    <r>
      <rPr>
        <b/>
        <sz val="9"/>
        <color rgb="FFC00000"/>
        <rFont val="Noto Sans CJK SC"/>
        <family val="2"/>
      </rPr>
      <t>다른 곳은 손대지 마세요</t>
    </r>
    <r>
      <rPr>
        <b/>
        <sz val="9"/>
        <color rgb="FFC00000"/>
        <rFont val="Arial"/>
        <family val="2"/>
      </rPr>
      <t>.</t>
    </r>
  </si>
  <si>
    <r>
      <rPr>
        <b/>
        <sz val="11"/>
        <color rgb="FF1F3864"/>
        <rFont val="Noto Sans CJK SC"/>
        <family val="2"/>
      </rPr>
      <t xml:space="preserve">② 팀별 월간 투입 </t>
    </r>
    <r>
      <rPr>
        <b/>
        <sz val="11"/>
        <color rgb="FF1F3864"/>
        <rFont val="Arial"/>
        <family val="2"/>
      </rPr>
      <t>M/M</t>
    </r>
  </si>
  <si>
    <t>연간 합계</t>
  </si>
  <si>
    <r>
      <rPr>
        <b/>
        <sz val="11"/>
        <color rgb="FF1F3864"/>
        <rFont val="Noto Sans CJK SC"/>
        <family val="2"/>
      </rPr>
      <t xml:space="preserve">③ 팀별 월간 가동률 </t>
    </r>
    <r>
      <rPr>
        <b/>
        <sz val="11"/>
        <color rgb="FF1F3864"/>
        <rFont val="Arial"/>
        <family val="2"/>
      </rPr>
      <t>(</t>
    </r>
    <r>
      <rPr>
        <b/>
        <sz val="11"/>
        <color rgb="FF1F3864"/>
        <rFont val="Noto Sans CJK SC"/>
        <family val="2"/>
      </rPr>
      <t xml:space="preserve">투입 </t>
    </r>
    <r>
      <rPr>
        <b/>
        <sz val="11"/>
        <color rgb="FF1F3864"/>
        <rFont val="Arial"/>
        <family val="2"/>
      </rPr>
      <t xml:space="preserve">÷ </t>
    </r>
    <r>
      <rPr>
        <b/>
        <sz val="11"/>
        <color rgb="FF1F3864"/>
        <rFont val="Noto Sans CJK SC"/>
        <family val="2"/>
      </rPr>
      <t>가용</t>
    </r>
    <r>
      <rPr>
        <b/>
        <sz val="11"/>
        <color rgb="FF1F3864"/>
        <rFont val="Arial"/>
        <family val="2"/>
      </rPr>
      <t>)</t>
    </r>
  </si>
  <si>
    <r>
      <rPr>
        <i/>
        <sz val="9"/>
        <color rgb="FF595959"/>
        <rFont val="Noto Sans CJK SC"/>
        <family val="2"/>
      </rPr>
      <t xml:space="preserve">진한 빨강 </t>
    </r>
    <r>
      <rPr>
        <i/>
        <sz val="9"/>
        <color rgb="FF595959"/>
        <rFont val="Arial"/>
        <family val="2"/>
      </rPr>
      <t xml:space="preserve">= 120% </t>
    </r>
    <r>
      <rPr>
        <i/>
        <sz val="9"/>
        <color rgb="FF595959"/>
        <rFont val="Noto Sans CJK SC"/>
        <family val="2"/>
      </rPr>
      <t>초과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Noto Sans CJK SC"/>
        <family val="2"/>
      </rPr>
      <t>심각</t>
    </r>
    <r>
      <rPr>
        <i/>
        <sz val="9"/>
        <color rgb="FF595959"/>
        <rFont val="Arial"/>
        <family val="2"/>
      </rPr>
      <t xml:space="preserve">) · </t>
    </r>
    <r>
      <rPr>
        <i/>
        <sz val="9"/>
        <color rgb="FF595959"/>
        <rFont val="Noto Sans CJK SC"/>
        <family val="2"/>
      </rPr>
      <t xml:space="preserve">주황 </t>
    </r>
    <r>
      <rPr>
        <i/>
        <sz val="9"/>
        <color rgb="FF595959"/>
        <rFont val="Arial"/>
        <family val="2"/>
      </rPr>
      <t>= 100~120%(</t>
    </r>
    <r>
      <rPr>
        <i/>
        <sz val="9"/>
        <color rgb="FF595959"/>
        <rFont val="Noto Sans CJK SC"/>
        <family val="2"/>
      </rPr>
      <t>주의</t>
    </r>
    <r>
      <rPr>
        <i/>
        <sz val="9"/>
        <color rgb="FF595959"/>
        <rFont val="Arial"/>
        <family val="2"/>
      </rPr>
      <t xml:space="preserve">) · </t>
    </r>
    <r>
      <rPr>
        <i/>
        <sz val="9"/>
        <color rgb="FF595959"/>
        <rFont val="Noto Sans CJK SC"/>
        <family val="2"/>
      </rPr>
      <t xml:space="preserve">초록 </t>
    </r>
    <r>
      <rPr>
        <i/>
        <sz val="9"/>
        <color rgb="FF595959"/>
        <rFont val="Arial"/>
        <family val="2"/>
      </rPr>
      <t xml:space="preserve">= 70% </t>
    </r>
    <r>
      <rPr>
        <i/>
        <sz val="9"/>
        <color rgb="FF595959"/>
        <rFont val="Noto Sans CJK SC"/>
        <family val="2"/>
      </rPr>
      <t>미만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Noto Sans CJK SC"/>
        <family val="2"/>
      </rPr>
      <t>여력 있음</t>
    </r>
    <r>
      <rPr>
        <i/>
        <sz val="9"/>
        <color rgb="FF595959"/>
        <rFont val="Arial"/>
        <family val="2"/>
      </rPr>
      <t>)</t>
    </r>
  </si>
  <si>
    <t>평균</t>
  </si>
  <si>
    <r>
      <rPr>
        <b/>
        <sz val="11"/>
        <color rgb="FF1F3864"/>
        <rFont val="Noto Sans CJK SC"/>
        <family val="2"/>
      </rPr>
      <t xml:space="preserve">④ 팀별 월간 여유 </t>
    </r>
    <r>
      <rPr>
        <b/>
        <sz val="11"/>
        <color rgb="FF1F3864"/>
        <rFont val="Arial"/>
        <family val="2"/>
      </rPr>
      <t>M/M (</t>
    </r>
    <r>
      <rPr>
        <b/>
        <sz val="11"/>
        <color rgb="FF1F3864"/>
        <rFont val="Noto Sans CJK SC"/>
        <family val="2"/>
      </rPr>
      <t xml:space="preserve">가용 </t>
    </r>
    <r>
      <rPr>
        <b/>
        <sz val="11"/>
        <color rgb="FF1F3864"/>
        <rFont val="Arial"/>
        <family val="2"/>
      </rPr>
      <t xml:space="preserve">- </t>
    </r>
    <r>
      <rPr>
        <b/>
        <sz val="11"/>
        <color rgb="FF1F3864"/>
        <rFont val="Noto Sans CJK SC"/>
        <family val="2"/>
      </rPr>
      <t>투입</t>
    </r>
    <r>
      <rPr>
        <b/>
        <sz val="11"/>
        <color rgb="FF1F3864"/>
        <rFont val="Arial"/>
        <family val="2"/>
      </rPr>
      <t xml:space="preserve">) · </t>
    </r>
    <r>
      <rPr>
        <b/>
        <sz val="11"/>
        <color rgb="FF1F3864"/>
        <rFont val="Noto Sans CJK SC"/>
        <family val="2"/>
      </rPr>
      <t xml:space="preserve">음수 </t>
    </r>
    <r>
      <rPr>
        <b/>
        <sz val="11"/>
        <color rgb="FF1F3864"/>
        <rFont val="Arial"/>
        <family val="2"/>
      </rPr>
      <t xml:space="preserve">= </t>
    </r>
    <r>
      <rPr>
        <b/>
        <sz val="11"/>
        <color rgb="FF1F3864"/>
        <rFont val="Noto Sans CJK SC"/>
        <family val="2"/>
      </rPr>
      <t>인력 부족</t>
    </r>
  </si>
  <si>
    <r>
      <rPr>
        <i/>
        <sz val="9"/>
        <color rgb="FF595959"/>
        <rFont val="Noto Sans CJK SC"/>
        <family val="2"/>
      </rPr>
      <t>※ 인원 변동 시 여기만 고치세요</t>
    </r>
    <r>
      <rPr>
        <i/>
        <sz val="9"/>
        <color rgb="FF595959"/>
        <rFont val="Arial"/>
        <family val="2"/>
      </rPr>
      <t>.</t>
    </r>
  </si>
  <si>
    <r>
      <rPr>
        <i/>
        <sz val="9"/>
        <color rgb="FF595959"/>
        <rFont val="Noto Sans CJK SC"/>
        <family val="2"/>
      </rPr>
      <t>※ 중간에 빈 줄을 두지 마세요</t>
    </r>
    <r>
      <rPr>
        <i/>
        <sz val="9"/>
        <color rgb="FF595959"/>
        <rFont val="Arial"/>
        <family val="2"/>
      </rPr>
      <t>.</t>
    </r>
  </si>
  <si>
    <r>
      <rPr>
        <i/>
        <sz val="9"/>
        <color rgb="FF595959"/>
        <rFont val="Noto Sans CJK SC"/>
        <family val="2"/>
      </rPr>
      <t xml:space="preserve">※ 동명이인은 </t>
    </r>
    <r>
      <rPr>
        <i/>
        <sz val="9"/>
        <color rgb="FF595959"/>
        <rFont val="Arial"/>
        <family val="2"/>
      </rPr>
      <t>'</t>
    </r>
    <r>
      <rPr>
        <i/>
        <sz val="9"/>
        <color rgb="FF595959"/>
        <rFont val="Noto Sans CJK SC"/>
        <family val="2"/>
      </rPr>
      <t>홍길동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Noto Sans CJK SC"/>
        <family val="2"/>
      </rPr>
      <t>영업</t>
    </r>
    <r>
      <rPr>
        <i/>
        <sz val="9"/>
        <color rgb="FF595959"/>
        <rFont val="Arial"/>
        <family val="2"/>
      </rPr>
      <t>)'</t>
    </r>
    <r>
      <rPr>
        <i/>
        <sz val="9"/>
        <color rgb="FF595959"/>
        <rFont val="Noto Sans CJK SC"/>
        <family val="2"/>
      </rPr>
      <t>처럼 구분하세요</t>
    </r>
    <r>
      <rPr>
        <i/>
        <sz val="9"/>
        <color rgb="FF595959"/>
        <rFont val="Arial"/>
        <family val="2"/>
      </rPr>
      <t>.</t>
    </r>
  </si>
  <si>
    <r>
      <rPr>
        <b/>
        <sz val="11"/>
        <color rgb="FF1F3864"/>
        <rFont val="Noto Sans CJK SC"/>
        <family val="2"/>
      </rPr>
      <t xml:space="preserve">⑤ 팀별 수주 </t>
    </r>
    <r>
      <rPr>
        <b/>
        <sz val="11"/>
        <color rgb="FF1F3864"/>
        <rFont val="Arial"/>
        <family val="2"/>
      </rPr>
      <t xml:space="preserve">· </t>
    </r>
    <r>
      <rPr>
        <b/>
        <sz val="11"/>
        <color rgb="FF1F3864"/>
        <rFont val="Noto Sans CJK SC"/>
        <family val="2"/>
      </rPr>
      <t>이윤 현황</t>
    </r>
  </si>
  <si>
    <r>
      <rPr>
        <b/>
        <sz val="10"/>
        <color rgb="FFFFFFFF"/>
        <rFont val="Noto Sans CJK SC"/>
        <family val="2"/>
      </rPr>
      <t xml:space="preserve">사업 </t>
    </r>
    <r>
      <rPr>
        <b/>
        <sz val="10"/>
        <color rgb="FFFFFFFF"/>
        <rFont val="Arial"/>
        <family val="2"/>
      </rPr>
      <t>M/M</t>
    </r>
  </si>
  <si>
    <r>
      <rPr>
        <b/>
        <sz val="10"/>
        <color rgb="FFFFFFFF"/>
        <rFont val="Noto Sans CJK SC"/>
        <family val="2"/>
      </rPr>
      <t xml:space="preserve">귀속 예산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수주</t>
    </r>
    <r>
      <rPr>
        <b/>
        <sz val="10"/>
        <color rgb="FFFFFFFF"/>
        <rFont val="Arial"/>
        <family val="2"/>
      </rPr>
      <t xml:space="preserve">, </t>
    </r>
    <r>
      <rPr>
        <b/>
        <sz val="10"/>
        <color rgb="FFFFFFFF"/>
        <rFont val="Noto Sans CJK SC"/>
        <family val="2"/>
      </rPr>
      <t>원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</si>
  <si>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목표 수주액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원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</si>
  <si>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 xml:space="preserve">잔여 목표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원</t>
    </r>
    <r>
      <rPr>
        <b/>
        <sz val="10"/>
        <color rgb="FFFFFFFF"/>
        <rFont val="Arial"/>
        <family val="2"/>
      </rPr>
      <t>)</t>
    </r>
  </si>
  <si>
    <t>전사</t>
  </si>
  <si>
    <t>⑥ 팀별 종합 진단</t>
  </si>
  <si>
    <t>평균 가동률</t>
  </si>
  <si>
    <t>최대 월 가동률</t>
  </si>
  <si>
    <t>과부하 월수</t>
  </si>
  <si>
    <r>
      <rPr>
        <b/>
        <sz val="10"/>
        <color rgb="FFFFFFFF"/>
        <rFont val="Noto Sans CJK SC"/>
        <family val="2"/>
      </rPr>
      <t xml:space="preserve">연간 여유 </t>
    </r>
    <r>
      <rPr>
        <b/>
        <sz val="10"/>
        <color rgb="FFFFFFFF"/>
        <rFont val="Arial"/>
        <family val="2"/>
      </rPr>
      <t>M/M</t>
    </r>
  </si>
  <si>
    <t>사업 투입 비중</t>
  </si>
  <si>
    <t>컨디션 판정</t>
  </si>
  <si>
    <t>수주 판정</t>
  </si>
  <si>
    <r>
      <rPr>
        <i/>
        <sz val="9"/>
        <color rgb="FF595959"/>
        <rFont val="Noto Sans CJK SC"/>
        <family val="2"/>
      </rPr>
      <t>※ 투입률은 정규 근무시간 대비 실제 투입입니다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 xml:space="preserve">야근이 포함되므로 가동률이 </t>
    </r>
    <r>
      <rPr>
        <i/>
        <sz val="9"/>
        <color rgb="FF595959"/>
        <rFont val="Arial"/>
        <family val="2"/>
      </rPr>
      <t>100%</t>
    </r>
    <r>
      <rPr>
        <i/>
        <sz val="9"/>
        <color rgb="FF595959"/>
        <rFont val="Noto Sans CJK SC"/>
        <family val="2"/>
      </rPr>
      <t>를 넘을 수 있습니다</t>
    </r>
    <r>
      <rPr>
        <i/>
        <sz val="9"/>
        <color rgb="FF595959"/>
        <rFont val="Arial"/>
        <family val="2"/>
      </rPr>
      <t>.</t>
    </r>
  </si>
  <si>
    <r>
      <rPr>
        <i/>
        <sz val="9"/>
        <color rgb="FF595959"/>
        <rFont val="Noto Sans CJK SC"/>
        <family val="2"/>
      </rPr>
      <t>※ 컨디션 판정 — 심각 과부하</t>
    </r>
    <r>
      <rPr>
        <i/>
        <sz val="9"/>
        <color rgb="FF595959"/>
        <rFont val="Arial"/>
        <family val="2"/>
      </rPr>
      <t xml:space="preserve">: 120% </t>
    </r>
    <r>
      <rPr>
        <i/>
        <sz val="9"/>
        <color rgb="FF595959"/>
        <rFont val="Noto Sans CJK SC"/>
        <family val="2"/>
      </rPr>
      <t xml:space="preserve">초과 </t>
    </r>
    <r>
      <rPr>
        <i/>
        <sz val="9"/>
        <color rgb="FF595959"/>
        <rFont val="Arial"/>
        <family val="2"/>
      </rPr>
      <t xml:space="preserve">/ </t>
    </r>
    <r>
      <rPr>
        <i/>
        <sz val="9"/>
        <color rgb="FF595959"/>
        <rFont val="Noto Sans CJK SC"/>
        <family val="2"/>
      </rPr>
      <t>과부하</t>
    </r>
    <r>
      <rPr>
        <i/>
        <sz val="9"/>
        <color rgb="FF595959"/>
        <rFont val="Arial"/>
        <family val="2"/>
      </rPr>
      <t xml:space="preserve">: 100~120% / </t>
    </r>
    <r>
      <rPr>
        <i/>
        <sz val="9"/>
        <color rgb="FF595959"/>
        <rFont val="Noto Sans CJK SC"/>
        <family val="2"/>
      </rPr>
      <t>여유 없음</t>
    </r>
    <r>
      <rPr>
        <i/>
        <sz val="9"/>
        <color rgb="FF595959"/>
        <rFont val="Arial"/>
        <family val="2"/>
      </rPr>
      <t xml:space="preserve">: 90~100% / </t>
    </r>
    <r>
      <rPr>
        <i/>
        <sz val="9"/>
        <color rgb="FF595959"/>
        <rFont val="Noto Sans CJK SC"/>
        <family val="2"/>
      </rPr>
      <t>적정</t>
    </r>
    <r>
      <rPr>
        <i/>
        <sz val="9"/>
        <color rgb="FF595959"/>
        <rFont val="Arial"/>
        <family val="2"/>
      </rPr>
      <t xml:space="preserve">: 70~90% / </t>
    </r>
    <r>
      <rPr>
        <i/>
        <sz val="9"/>
        <color rgb="FF595959"/>
        <rFont val="Noto Sans CJK SC"/>
        <family val="2"/>
      </rPr>
      <t>여력 있음</t>
    </r>
    <r>
      <rPr>
        <i/>
        <sz val="9"/>
        <color rgb="FF595959"/>
        <rFont val="Arial"/>
        <family val="2"/>
      </rPr>
      <t xml:space="preserve">: 70% </t>
    </r>
    <r>
      <rPr>
        <i/>
        <sz val="9"/>
        <color rgb="FF595959"/>
        <rFont val="Noto Sans CJK SC"/>
        <family val="2"/>
      </rPr>
      <t>미만</t>
    </r>
  </si>
  <si>
    <r>
      <rPr>
        <i/>
        <sz val="9"/>
        <color rgb="FF595959"/>
        <rFont val="Noto Sans CJK SC"/>
        <family val="2"/>
      </rPr>
      <t>※ 수주 판정은 기간 진도율</t>
    </r>
    <r>
      <rPr>
        <i/>
        <sz val="9"/>
        <color rgb="FF595959"/>
        <rFont val="Arial"/>
        <family val="2"/>
      </rPr>
      <t xml:space="preserve">(B6) </t>
    </r>
    <r>
      <rPr>
        <i/>
        <sz val="9"/>
        <color rgb="FF595959"/>
        <rFont val="Noto Sans CJK SC"/>
        <family val="2"/>
      </rPr>
      <t>대비입니다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진도 앞섬</t>
    </r>
    <r>
      <rPr>
        <i/>
        <sz val="9"/>
        <color rgb="FF595959"/>
        <rFont val="Arial"/>
        <family val="2"/>
      </rPr>
      <t xml:space="preserve">: +5%p </t>
    </r>
    <r>
      <rPr>
        <i/>
        <sz val="9"/>
        <color rgb="FF595959"/>
        <rFont val="Noto Sans CJK SC"/>
        <family val="2"/>
      </rPr>
      <t xml:space="preserve">이상 </t>
    </r>
    <r>
      <rPr>
        <i/>
        <sz val="9"/>
        <color rgb="FF595959"/>
        <rFont val="Arial"/>
        <family val="2"/>
      </rPr>
      <t xml:space="preserve">/ </t>
    </r>
    <r>
      <rPr>
        <i/>
        <sz val="9"/>
        <color rgb="FF595959"/>
        <rFont val="Noto Sans CJK SC"/>
        <family val="2"/>
      </rPr>
      <t>정상 진도</t>
    </r>
    <r>
      <rPr>
        <i/>
        <sz val="9"/>
        <color rgb="FF595959"/>
        <rFont val="Arial"/>
        <family val="2"/>
      </rPr>
      <t xml:space="preserve">: -10~+5%p / </t>
    </r>
    <r>
      <rPr>
        <i/>
        <sz val="9"/>
        <color rgb="FF595959"/>
        <rFont val="Noto Sans CJK SC"/>
        <family val="2"/>
      </rPr>
      <t>진도 지연</t>
    </r>
    <r>
      <rPr>
        <i/>
        <sz val="9"/>
        <color rgb="FF595959"/>
        <rFont val="Arial"/>
        <family val="2"/>
      </rPr>
      <t xml:space="preserve">: -10%p </t>
    </r>
    <r>
      <rPr>
        <i/>
        <sz val="9"/>
        <color rgb="FF595959"/>
        <rFont val="Noto Sans CJK SC"/>
        <family val="2"/>
      </rPr>
      <t>미만</t>
    </r>
  </si>
  <si>
    <r>
      <rPr>
        <i/>
        <sz val="9"/>
        <color rgb="FF595959"/>
        <rFont val="Noto Sans CJK SC"/>
        <family val="2"/>
      </rPr>
      <t>※ 기준월</t>
    </r>
    <r>
      <rPr>
        <i/>
        <sz val="9"/>
        <color rgb="FF595959"/>
        <rFont val="Arial"/>
        <family val="2"/>
      </rPr>
      <t>(B5)</t>
    </r>
    <r>
      <rPr>
        <i/>
        <sz val="9"/>
        <color rgb="FF595959"/>
        <rFont val="Noto Sans CJK SC"/>
        <family val="2"/>
      </rPr>
      <t>을 매달 갱신해야 진도 비교가 맞습니다</t>
    </r>
    <r>
      <rPr>
        <i/>
        <sz val="9"/>
        <color rgb="FF595959"/>
        <rFont val="Arial"/>
        <family val="2"/>
      </rPr>
      <t>. 8</t>
    </r>
    <r>
      <rPr>
        <i/>
        <sz val="9"/>
        <color rgb="FF595959"/>
        <rFont val="Noto Sans CJK SC"/>
        <family val="2"/>
      </rPr>
      <t xml:space="preserve">월이면 </t>
    </r>
    <r>
      <rPr>
        <i/>
        <sz val="9"/>
        <color rgb="FF595959"/>
        <rFont val="Arial"/>
        <family val="2"/>
      </rPr>
      <t>8</t>
    </r>
    <r>
      <rPr>
        <i/>
        <sz val="9"/>
        <color rgb="FF595959"/>
        <rFont val="Noto Sans CJK SC"/>
        <family val="2"/>
      </rPr>
      <t>을 넣으세요</t>
    </r>
    <r>
      <rPr>
        <i/>
        <sz val="9"/>
        <color rgb="FF595959"/>
        <rFont val="Arial"/>
        <family val="2"/>
      </rPr>
      <t>.</t>
    </r>
  </si>
  <si>
    <r>
      <rPr>
        <i/>
        <sz val="9"/>
        <color rgb="FF595959"/>
        <rFont val="Noto Sans CJK SC"/>
        <family val="2"/>
      </rPr>
      <t>※ 귀속 예산</t>
    </r>
    <r>
      <rPr>
        <i/>
        <sz val="9"/>
        <color rgb="FF595959"/>
        <rFont val="Arial"/>
        <family val="2"/>
      </rPr>
      <t>·</t>
    </r>
    <r>
      <rPr>
        <i/>
        <sz val="9"/>
        <color rgb="FF595959"/>
        <rFont val="Noto Sans CJK SC"/>
        <family val="2"/>
      </rPr>
      <t xml:space="preserve">이윤은 사업 값을 투입 </t>
    </r>
    <r>
      <rPr>
        <i/>
        <sz val="9"/>
        <color rgb="FF595959"/>
        <rFont val="Arial"/>
        <family val="2"/>
      </rPr>
      <t xml:space="preserve">M/M </t>
    </r>
    <r>
      <rPr>
        <i/>
        <sz val="9"/>
        <color rgb="FF595959"/>
        <rFont val="Noto Sans CJK SC"/>
        <family val="2"/>
      </rPr>
      <t>비율로 나눈 것입니다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여러 팀이 붙어도 중복 계상되지 않습니다</t>
    </r>
    <r>
      <rPr>
        <i/>
        <sz val="9"/>
        <color rgb="FF595959"/>
        <rFont val="Arial"/>
        <family val="2"/>
      </rPr>
      <t>.</t>
    </r>
  </si>
  <si>
    <r>
      <rPr>
        <i/>
        <sz val="9"/>
        <color rgb="FF595959"/>
        <rFont val="Noto Sans CJK SC"/>
        <family val="2"/>
      </rPr>
      <t>※ 이윤은 견적서상 이윤이며 실제 정산 이익이 아닙니다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사업 포트폴리오의 질을 보는 지표입니다</t>
    </r>
    <r>
      <rPr>
        <i/>
        <sz val="9"/>
        <color rgb="FF595959"/>
        <rFont val="Arial"/>
        <family val="2"/>
      </rPr>
      <t>.</t>
    </r>
  </si>
  <si>
    <t>팀별 상세 현황</t>
  </si>
  <si>
    <r>
      <rPr>
        <i/>
        <sz val="9"/>
        <color rgb="FF595959"/>
        <rFont val="Noto Sans CJK SC"/>
        <family val="2"/>
      </rPr>
      <t>월별 상세 수치와 팀별 요약표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요약은 대시보드 시트를 보세요</t>
    </r>
    <r>
      <rPr>
        <i/>
        <sz val="9"/>
        <color rgb="FF595959"/>
        <rFont val="Arial"/>
        <family val="2"/>
      </rPr>
      <t>.</t>
    </r>
  </si>
  <si>
    <r>
      <rPr>
        <b/>
        <sz val="10"/>
        <color rgb="FFFFFFFF"/>
        <rFont val="Noto Sans CJK SC"/>
        <family val="2"/>
      </rPr>
      <t xml:space="preserve">확정 수주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원</t>
    </r>
    <r>
      <rPr>
        <b/>
        <sz val="10"/>
        <color rgb="FFFFFFFF"/>
        <rFont val="Arial"/>
        <family val="2"/>
      </rPr>
      <t>)</t>
    </r>
  </si>
  <si>
    <t>팀별 요약</t>
  </si>
  <si>
    <r>
      <rPr>
        <i/>
        <sz val="9"/>
        <color rgb="FF595959"/>
        <rFont val="Noto Sans CJK SC"/>
        <family val="2"/>
      </rPr>
      <t xml:space="preserve">※ 여력 있는 팀 </t>
    </r>
    <r>
      <rPr>
        <i/>
        <sz val="9"/>
        <color rgb="FF595959"/>
        <rFont val="Arial"/>
        <family val="2"/>
      </rPr>
      <t xml:space="preserve">+ </t>
    </r>
    <r>
      <rPr>
        <i/>
        <sz val="9"/>
        <color rgb="FF595959"/>
        <rFont val="Noto Sans CJK SC"/>
        <family val="2"/>
      </rPr>
      <t>진도 지연 팀 조합이 업무 재배분 대상입니다</t>
    </r>
    <r>
      <rPr>
        <i/>
        <sz val="9"/>
        <color rgb="FF595959"/>
        <rFont val="Arial"/>
        <family val="2"/>
      </rPr>
      <t>.</t>
    </r>
  </si>
  <si>
    <r>
      <rPr>
        <i/>
        <sz val="9"/>
        <color rgb="FF595959"/>
        <rFont val="Noto Sans CJK SC"/>
        <family val="2"/>
      </rPr>
      <t>※ 수주 판정은 기간 진도율 대비입니다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기준월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Noto Sans CJK SC"/>
        <family val="2"/>
      </rPr>
      <t xml:space="preserve">팀별분석 </t>
    </r>
    <r>
      <rPr>
        <i/>
        <sz val="9"/>
        <color rgb="FF595959"/>
        <rFont val="Arial"/>
        <family val="2"/>
      </rPr>
      <t>B5)</t>
    </r>
    <r>
      <rPr>
        <i/>
        <sz val="9"/>
        <color rgb="FF595959"/>
        <rFont val="Noto Sans CJK SC"/>
        <family val="2"/>
      </rPr>
      <t>을 매달 갱신하세요</t>
    </r>
    <r>
      <rPr>
        <i/>
        <sz val="9"/>
        <color rgb="FF595959"/>
        <rFont val="Arial"/>
        <family val="2"/>
      </rPr>
      <t>.</t>
    </r>
  </si>
  <si>
    <r>
      <rPr>
        <i/>
        <sz val="9"/>
        <color rgb="FF595959"/>
        <rFont val="Arial"/>
        <family val="2"/>
      </rPr>
      <t>[</t>
    </r>
    <r>
      <rPr>
        <i/>
        <sz val="9"/>
        <color rgb="FF595959"/>
        <rFont val="Noto Sans CJK SC"/>
        <family val="2"/>
      </rPr>
      <t>차트 보조 데이터</t>
    </r>
    <r>
      <rPr>
        <i/>
        <sz val="9"/>
        <color rgb="FF595959"/>
        <rFont val="Arial"/>
        <family val="2"/>
      </rPr>
      <t xml:space="preserve">] </t>
    </r>
    <r>
      <rPr>
        <i/>
        <sz val="9"/>
        <color rgb="FF595959"/>
        <rFont val="Noto Sans CJK SC"/>
        <family val="2"/>
      </rPr>
      <t>지우지 마세요</t>
    </r>
  </si>
  <si>
    <r>
      <rPr>
        <b/>
        <sz val="10"/>
        <rFont val="Noto Sans CJK SC"/>
        <family val="2"/>
      </rPr>
      <t xml:space="preserve">연간 가용 </t>
    </r>
    <r>
      <rPr>
        <b/>
        <sz val="10"/>
        <rFont val="Arial"/>
        <family val="2"/>
      </rPr>
      <t>M/M</t>
    </r>
  </si>
  <si>
    <r>
      <rPr>
        <b/>
        <sz val="10"/>
        <rFont val="Noto Sans CJK SC"/>
        <family val="2"/>
      </rPr>
      <t xml:space="preserve">연간 투입 </t>
    </r>
    <r>
      <rPr>
        <b/>
        <sz val="10"/>
        <rFont val="Arial"/>
        <family val="2"/>
      </rPr>
      <t>M/M</t>
    </r>
  </si>
  <si>
    <t>목표 수주액</t>
  </si>
  <si>
    <r>
      <rPr>
        <b/>
        <sz val="10"/>
        <rFont val="Arial"/>
        <family val="2"/>
      </rPr>
      <t>M/M</t>
    </r>
    <r>
      <rPr>
        <b/>
        <sz val="10"/>
        <rFont val="Noto Sans CJK SC"/>
        <family val="2"/>
      </rPr>
      <t>당 예산</t>
    </r>
  </si>
  <si>
    <r>
      <rPr>
        <b/>
        <sz val="10"/>
        <rFont val="Arial"/>
        <family val="2"/>
      </rPr>
      <t>M/M</t>
    </r>
    <r>
      <rPr>
        <b/>
        <sz val="10"/>
        <rFont val="Noto Sans CJK SC"/>
        <family val="2"/>
      </rPr>
      <t>당 이윤</t>
    </r>
  </si>
  <si>
    <t>연간 목표 이윤 (원)</t>
  </si>
  <si>
    <t>목표 이윤 (원)</t>
  </si>
  <si>
    <t>이윤 달성률</t>
  </si>
  <si>
    <t>이윤 판정</t>
  </si>
  <si>
    <t>※ 연간 목표 이윤: 경영진이 부여한 연간 이윤 목표. 목표가 없는 조직은 0으로 두세요. 지금 값은 목표 수주액의 25%로 채운 예시이니 실제 목표로 바꿔 주세요.</t>
  </si>
  <si>
    <t>노란색 셀(유효가동률·기준월·인원수·목표 수주액·목표 이윤)만 입력하면 나머지는 자동 계산됩니다.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</si>
</sst>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%;\(0.0%\);\-"/>
    <numFmt numFmtId="177" formatCode="0.00;\(0.00\);\-"/>
    <numFmt numFmtId="178" formatCode="#,##0;\(#,##0\);\-"/>
    <numFmt numFmtId="179" formatCode="yyyy\-mm"/>
    <numFmt numFmtId="180" formatCode="#,##0;\(#,##0\);;"/>
    <numFmt numFmtId="181" formatCode="0.00;\(0.00\);;"/>
    <numFmt numFmtId="182" formatCode="0&quot;개월&quot;"/>
  </numFmts>
  <fonts count="33">
    <font>
      <sz val="11"/>
      <color theme="1"/>
      <name val="Calibri"/>
      <family val="2"/>
      <charset val="1"/>
    </font>
    <font>
      <b/>
      <sz val="20"/>
      <color rgb="FF1F3864"/>
      <name val="Noto Sans CJK SC"/>
      <family val="2"/>
    </font>
    <font>
      <i/>
      <sz val="9"/>
      <color rgb="FF595959"/>
      <name val="Noto Sans CJK SC"/>
      <family val="2"/>
    </font>
    <font>
      <i/>
      <sz val="9"/>
      <color rgb="FF595959"/>
      <name val="Arial"/>
      <family val="2"/>
    </font>
    <font>
      <b/>
      <sz val="9"/>
      <color rgb="FFFFFFFF"/>
      <name val="Noto Sans CJK SC"/>
      <family val="2"/>
    </font>
    <font>
      <b/>
      <sz val="9"/>
      <color rgb="FFFFFFFF"/>
      <name val="Arial"/>
      <family val="2"/>
    </font>
    <font>
      <b/>
      <sz val="15"/>
      <color rgb="FF1F3864"/>
      <name val="Arial"/>
      <family val="2"/>
    </font>
    <font>
      <b/>
      <sz val="11"/>
      <color rgb="FF1F3864"/>
      <name val="Noto Sans CJK SC"/>
      <family val="2"/>
    </font>
    <font>
      <b/>
      <sz val="11"/>
      <color rgb="FFFFFFFF"/>
      <name val="Noto Sans CJK SC"/>
      <family val="2"/>
    </font>
    <font>
      <sz val="9"/>
      <color rgb="FF595959"/>
      <name val="Noto Sans CJK SC"/>
      <family val="2"/>
    </font>
    <font>
      <b/>
      <sz val="12"/>
      <color rgb="FF1F3864"/>
      <name val="Arial"/>
      <family val="2"/>
    </font>
    <font>
      <sz val="9"/>
      <color rgb="FF595959"/>
      <name val="Arial"/>
      <family val="2"/>
    </font>
    <font>
      <b/>
      <sz val="9"/>
      <color rgb="FF404040"/>
      <name val="Noto Sans CJK SC"/>
      <family val="2"/>
    </font>
    <font>
      <b/>
      <sz val="11"/>
      <color rgb="FFFFFFFF"/>
      <name val="Arial"/>
      <family val="2"/>
    </font>
    <font>
      <b/>
      <sz val="9"/>
      <color rgb="FF404040"/>
      <name val="Arial"/>
      <family val="2"/>
    </font>
    <font>
      <b/>
      <sz val="11"/>
      <color rgb="FF1F3864"/>
      <name val="Arial"/>
      <family val="2"/>
    </font>
    <font>
      <b/>
      <sz val="14"/>
      <color rgb="FF1F3864"/>
      <name val="Noto Sans CJK SC"/>
      <family val="2"/>
    </font>
    <font>
      <b/>
      <sz val="14"/>
      <color rgb="FF1F3864"/>
      <name val="Arial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sz val="10"/>
      <color rgb="FF0000FF"/>
      <name val="Noto Sans CJK SC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name val="Noto Sans CJK SC"/>
      <family val="2"/>
    </font>
    <font>
      <b/>
      <sz val="10"/>
      <name val="Arial"/>
      <family val="2"/>
    </font>
    <font>
      <b/>
      <sz val="9"/>
      <color rgb="FFC00000"/>
      <name val="Noto Sans CJK SC"/>
      <family val="2"/>
    </font>
    <font>
      <b/>
      <sz val="9"/>
      <color rgb="FFC00000"/>
      <name val="Arial"/>
      <family val="2"/>
    </font>
    <font>
      <sz val="10"/>
      <color rgb="FF008000"/>
      <name val="Noto Sans CJK SC"/>
      <family val="2"/>
    </font>
    <font>
      <sz val="10"/>
      <color rgb="FF008000"/>
      <name val="Arial"/>
      <family val="2"/>
    </font>
    <font>
      <b/>
      <sz val="18"/>
      <color rgb="FF1F3864"/>
      <name val="Noto Sans CJK SC"/>
      <family val="2"/>
    </font>
    <font>
      <b/>
      <sz val="16"/>
      <color rgb="FF1F3864"/>
      <name val="Arial"/>
      <family val="2"/>
    </font>
    <font>
      <sz val="10"/>
      <color rgb="FF000000"/>
      <name val="Noto Sans CJK SC"/>
      <family val="2"/>
    </font>
    <font>
      <sz val="8"/>
      <name val="돋움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4472C4"/>
        <bgColor rgb="FF0066CC"/>
      </patternFill>
    </fill>
    <fill>
      <patternFill patternType="solid">
        <fgColor rgb="FF70AD47"/>
        <bgColor rgb="FF878787"/>
      </patternFill>
    </fill>
    <fill>
      <patternFill patternType="solid">
        <fgColor rgb="FF1F3864"/>
        <bgColor rgb="FF333399"/>
      </patternFill>
    </fill>
    <fill>
      <patternFill patternType="solid">
        <fgColor rgb="FFC55A11"/>
        <bgColor rgb="FF833C00"/>
      </patternFill>
    </fill>
    <fill>
      <patternFill patternType="solid">
        <fgColor rgb="FFC00000"/>
        <bgColor rgb="FF9C0006"/>
      </patternFill>
    </fill>
    <fill>
      <patternFill patternType="solid">
        <fgColor rgb="FF7030A0"/>
        <bgColor rgb="FF993366"/>
      </patternFill>
    </fill>
    <fill>
      <patternFill patternType="solid">
        <fgColor rgb="FFF4F7FB"/>
        <bgColor rgb="FFF2F5FA"/>
      </patternFill>
    </fill>
    <fill>
      <patternFill patternType="solid">
        <fgColor rgb="FFFFFFFF"/>
        <bgColor rgb="FFF7F9FC"/>
      </patternFill>
    </fill>
    <fill>
      <patternFill patternType="solid">
        <fgColor rgb="FFF7F9FC"/>
        <bgColor rgb="FFF4F7FB"/>
      </patternFill>
    </fill>
    <fill>
      <patternFill patternType="solid">
        <fgColor rgb="FFEDEFF3"/>
        <bgColor rgb="FFF2F2F2"/>
      </patternFill>
    </fill>
    <fill>
      <patternFill patternType="solid">
        <fgColor rgb="FFF2F2F2"/>
        <bgColor rgb="FFF2F5FA"/>
      </patternFill>
    </fill>
    <fill>
      <patternFill patternType="solid">
        <fgColor rgb="FFDDEBF7"/>
        <bgColor rgb="FFEDEFF3"/>
      </patternFill>
    </fill>
    <fill>
      <patternFill patternType="solid">
        <fgColor rgb="FFFFFF00"/>
        <bgColor rgb="FFFFE699"/>
      </patternFill>
    </fill>
    <fill>
      <patternFill patternType="solid">
        <fgColor rgb="FFF2F5FA"/>
        <bgColor rgb="FFF4F7FB"/>
      </patternFill>
    </fill>
    <fill>
      <patternFill patternType="solid">
        <fgColor theme="8" tint="0.79998168889431442"/>
        <bgColor rgb="FFFFE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2" fillId="0" borderId="0" xfId="0" applyFont="1"/>
    <xf numFmtId="0" fontId="7" fillId="0" borderId="0" xfId="0" applyFont="1"/>
    <xf numFmtId="0" fontId="3" fillId="0" borderId="0" xfId="0" applyFont="1"/>
    <xf numFmtId="0" fontId="16" fillId="0" borderId="0" xfId="0" applyFont="1"/>
    <xf numFmtId="0" fontId="18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20" fillId="12" borderId="1" xfId="0" applyFont="1" applyFill="1" applyBorder="1"/>
    <xf numFmtId="179" fontId="21" fillId="12" borderId="1" xfId="0" applyNumberFormat="1" applyFont="1" applyFill="1" applyBorder="1"/>
    <xf numFmtId="1" fontId="22" fillId="12" borderId="1" xfId="0" applyNumberFormat="1" applyFont="1" applyFill="1" applyBorder="1"/>
    <xf numFmtId="180" fontId="21" fillId="12" borderId="1" xfId="0" applyNumberFormat="1" applyFont="1" applyFill="1" applyBorder="1"/>
    <xf numFmtId="176" fontId="22" fillId="12" borderId="1" xfId="0" applyNumberFormat="1" applyFont="1" applyFill="1" applyBorder="1"/>
    <xf numFmtId="181" fontId="22" fillId="12" borderId="1" xfId="0" applyNumberFormat="1" applyFont="1" applyFill="1" applyBorder="1"/>
    <xf numFmtId="180" fontId="22" fillId="12" borderId="1" xfId="0" applyNumberFormat="1" applyFont="1" applyFill="1" applyBorder="1"/>
    <xf numFmtId="0" fontId="21" fillId="0" borderId="1" xfId="0" applyFont="1" applyBorder="1"/>
    <xf numFmtId="179" fontId="21" fillId="0" borderId="1" xfId="0" applyNumberFormat="1" applyFont="1" applyBorder="1"/>
    <xf numFmtId="1" fontId="22" fillId="0" borderId="1" xfId="0" applyNumberFormat="1" applyFont="1" applyBorder="1"/>
    <xf numFmtId="180" fontId="21" fillId="0" borderId="1" xfId="0" applyNumberFormat="1" applyFont="1" applyBorder="1"/>
    <xf numFmtId="176" fontId="22" fillId="0" borderId="1" xfId="0" applyNumberFormat="1" applyFont="1" applyBorder="1"/>
    <xf numFmtId="181" fontId="22" fillId="0" borderId="1" xfId="0" applyNumberFormat="1" applyFont="1" applyBorder="1"/>
    <xf numFmtId="180" fontId="22" fillId="0" borderId="1" xfId="0" applyNumberFormat="1" applyFont="1" applyBorder="1"/>
    <xf numFmtId="0" fontId="23" fillId="13" borderId="1" xfId="0" applyFont="1" applyFill="1" applyBorder="1"/>
    <xf numFmtId="0" fontId="0" fillId="13" borderId="1" xfId="0" applyFill="1" applyBorder="1"/>
    <xf numFmtId="178" fontId="24" fillId="13" borderId="1" xfId="0" applyNumberFormat="1" applyFont="1" applyFill="1" applyBorder="1"/>
    <xf numFmtId="176" fontId="24" fillId="13" borderId="1" xfId="0" applyNumberFormat="1" applyFont="1" applyFill="1" applyBorder="1"/>
    <xf numFmtId="177" fontId="24" fillId="13" borderId="1" xfId="0" applyNumberFormat="1" applyFont="1" applyFill="1" applyBorder="1"/>
    <xf numFmtId="0" fontId="25" fillId="0" borderId="0" xfId="0" applyFont="1"/>
    <xf numFmtId="0" fontId="23" fillId="0" borderId="0" xfId="0" applyFont="1"/>
    <xf numFmtId="179" fontId="21" fillId="14" borderId="1" xfId="0" applyNumberFormat="1" applyFont="1" applyFill="1" applyBorder="1"/>
    <xf numFmtId="179" fontId="19" fillId="4" borderId="1" xfId="0" applyNumberFormat="1" applyFont="1" applyFill="1" applyBorder="1" applyAlignment="1">
      <alignment horizontal="center" vertical="center" wrapText="1"/>
    </xf>
    <xf numFmtId="0" fontId="27" fillId="12" borderId="1" xfId="0" applyFont="1" applyFill="1" applyBorder="1"/>
    <xf numFmtId="9" fontId="21" fillId="12" borderId="1" xfId="0" applyNumberFormat="1" applyFont="1" applyFill="1" applyBorder="1" applyAlignment="1">
      <alignment horizontal="center"/>
    </xf>
    <xf numFmtId="0" fontId="28" fillId="0" borderId="1" xfId="0" applyFont="1" applyBorder="1"/>
    <xf numFmtId="9" fontId="21" fillId="0" borderId="1" xfId="0" applyNumberFormat="1" applyFont="1" applyBorder="1" applyAlignment="1">
      <alignment horizontal="center"/>
    </xf>
    <xf numFmtId="177" fontId="24" fillId="13" borderId="1" xfId="0" applyNumberFormat="1" applyFont="1" applyFill="1" applyBorder="1" applyAlignment="1">
      <alignment horizontal="center"/>
    </xf>
    <xf numFmtId="0" fontId="15" fillId="0" borderId="0" xfId="0" applyFont="1"/>
    <xf numFmtId="9" fontId="22" fillId="0" borderId="1" xfId="0" applyNumberFormat="1" applyFont="1" applyBorder="1" applyAlignment="1">
      <alignment horizontal="center"/>
    </xf>
    <xf numFmtId="181" fontId="24" fillId="13" borderId="1" xfId="0" applyNumberFormat="1" applyFont="1" applyFill="1" applyBorder="1"/>
    <xf numFmtId="9" fontId="21" fillId="14" borderId="1" xfId="0" applyNumberFormat="1" applyFont="1" applyFill="1" applyBorder="1"/>
    <xf numFmtId="176" fontId="22" fillId="13" borderId="1" xfId="0" applyNumberFormat="1" applyFont="1" applyFill="1" applyBorder="1" applyAlignment="1">
      <alignment horizontal="center"/>
    </xf>
    <xf numFmtId="1" fontId="22" fillId="12" borderId="1" xfId="0" applyNumberFormat="1" applyFont="1" applyFill="1" applyBorder="1" applyAlignment="1">
      <alignment horizontal="center"/>
    </xf>
    <xf numFmtId="1" fontId="21" fillId="14" borderId="1" xfId="0" applyNumberFormat="1" applyFont="1" applyFill="1" applyBorder="1" applyAlignment="1">
      <alignment horizontal="center"/>
    </xf>
    <xf numFmtId="180" fontId="21" fillId="14" borderId="1" xfId="0" applyNumberFormat="1" applyFont="1" applyFill="1" applyBorder="1"/>
    <xf numFmtId="1" fontId="24" fillId="13" borderId="1" xfId="0" applyNumberFormat="1" applyFont="1" applyFill="1" applyBorder="1"/>
    <xf numFmtId="1" fontId="22" fillId="0" borderId="1" xfId="0" applyNumberFormat="1" applyFont="1" applyBorder="1" applyAlignment="1">
      <alignment horizontal="center"/>
    </xf>
    <xf numFmtId="177" fontId="22" fillId="0" borderId="1" xfId="0" applyNumberFormat="1" applyFont="1" applyBorder="1"/>
    <xf numFmtId="178" fontId="22" fillId="0" borderId="1" xfId="0" applyNumberFormat="1" applyFont="1" applyBorder="1"/>
    <xf numFmtId="176" fontId="24" fillId="0" borderId="1" xfId="0" applyNumberFormat="1" applyFont="1" applyBorder="1"/>
    <xf numFmtId="178" fontId="28" fillId="0" borderId="1" xfId="0" applyNumberFormat="1" applyFont="1" applyBorder="1"/>
    <xf numFmtId="0" fontId="23" fillId="13" borderId="1" xfId="0" applyFont="1" applyFill="1" applyBorder="1" applyAlignment="1">
      <alignment horizontal="center"/>
    </xf>
    <xf numFmtId="0" fontId="29" fillId="0" borderId="0" xfId="0" applyFont="1"/>
    <xf numFmtId="0" fontId="31" fillId="0" borderId="1" xfId="0" applyFont="1" applyBorder="1"/>
    <xf numFmtId="0" fontId="23" fillId="0" borderId="1" xfId="0" applyFont="1" applyBorder="1" applyAlignment="1">
      <alignment horizontal="center"/>
    </xf>
    <xf numFmtId="0" fontId="2" fillId="0" borderId="1" xfId="0" applyFont="1" applyBorder="1"/>
    <xf numFmtId="0" fontId="24" fillId="0" borderId="0" xfId="0" applyFont="1"/>
    <xf numFmtId="0" fontId="31" fillId="0" borderId="0" xfId="0" applyFont="1"/>
    <xf numFmtId="177" fontId="0" fillId="0" borderId="0" xfId="0" applyNumberFormat="1"/>
    <xf numFmtId="178" fontId="0" fillId="0" borderId="0" xfId="0" applyNumberFormat="1"/>
    <xf numFmtId="182" fontId="21" fillId="16" borderId="1" xfId="0" applyNumberFormat="1" applyFont="1" applyFill="1" applyBorder="1" applyAlignment="1">
      <alignment horizontal="center"/>
    </xf>
    <xf numFmtId="0" fontId="9" fillId="9" borderId="1" xfId="0" applyFont="1" applyFill="1" applyBorder="1" applyAlignment="1">
      <alignment horizontal="left" vertical="center" indent="1"/>
    </xf>
    <xf numFmtId="176" fontId="10" fillId="9" borderId="1" xfId="0" applyNumberFormat="1" applyFont="1" applyFill="1" applyBorder="1" applyAlignment="1">
      <alignment horizontal="right" vertical="center" indent="1"/>
    </xf>
    <xf numFmtId="0" fontId="9" fillId="10" borderId="1" xfId="0" applyFont="1" applyFill="1" applyBorder="1" applyAlignment="1">
      <alignment horizontal="left" vertical="center" indent="1"/>
    </xf>
    <xf numFmtId="176" fontId="10" fillId="10" borderId="1" xfId="0" applyNumberFormat="1" applyFont="1" applyFill="1" applyBorder="1" applyAlignment="1">
      <alignment horizontal="right" vertical="center" indent="1"/>
    </xf>
    <xf numFmtId="0" fontId="14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77" fontId="10" fillId="10" borderId="1" xfId="0" applyNumberFormat="1" applyFont="1" applyFill="1" applyBorder="1" applyAlignment="1">
      <alignment horizontal="right" vertical="center" indent="1"/>
    </xf>
    <xf numFmtId="0" fontId="12" fillId="11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76" fontId="6" fillId="8" borderId="1" xfId="0" applyNumberFormat="1" applyFont="1" applyFill="1" applyBorder="1" applyAlignment="1">
      <alignment horizontal="center" vertical="center"/>
    </xf>
    <xf numFmtId="177" fontId="6" fillId="8" borderId="1" xfId="0" applyNumberFormat="1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176" fontId="30" fillId="15" borderId="1" xfId="0" applyNumberFormat="1" applyFont="1" applyFill="1" applyBorder="1" applyAlignment="1">
      <alignment horizontal="center" vertical="center"/>
    </xf>
    <xf numFmtId="177" fontId="30" fillId="15" borderId="1" xfId="0" applyNumberFormat="1" applyFont="1" applyFill="1" applyBorder="1" applyAlignment="1">
      <alignment horizontal="center" vertical="center"/>
    </xf>
    <xf numFmtId="178" fontId="30" fillId="15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</cellXfs>
  <cellStyles count="1">
    <cellStyle name="표준" xfId="0" builtinId="0"/>
  </cellStyles>
  <dxfs count="103">
    <dxf>
      <font>
        <b/>
        <sz val="10"/>
        <color rgb="FF808080"/>
        <name val="Arial"/>
        <charset val="1"/>
      </font>
      <fill>
        <patternFill>
          <bgColor rgb="FFF2F2F2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833C00"/>
        <name val="Arial"/>
        <charset val="1"/>
      </font>
      <fill>
        <patternFill>
          <bgColor rgb="FFFCE4D6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833C00"/>
        <name val="Arial"/>
        <charset val="1"/>
      </font>
      <fill>
        <patternFill>
          <bgColor rgb="FFFFE699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B0000"/>
        <name val="Arial"/>
        <charset val="1"/>
      </font>
      <fill>
        <patternFill>
          <bgColor rgb="FFFF9999"/>
        </patternFill>
      </fill>
    </dxf>
    <dxf>
      <font>
        <sz val="10"/>
        <color rgb="FF833C00"/>
        <name val="Arial"/>
        <charset val="1"/>
      </font>
      <fill>
        <patternFill>
          <bgColor rgb="FFFCE4D6"/>
        </patternFill>
      </fill>
    </dxf>
    <dxf>
      <font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808080"/>
        <name val="Arial"/>
        <charset val="1"/>
      </font>
      <fill>
        <patternFill>
          <bgColor rgb="FFF2F2F2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833C00"/>
        <name val="Arial"/>
        <charset val="1"/>
      </font>
      <fill>
        <patternFill>
          <bgColor rgb="FFFCE4D6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833C00"/>
        <name val="Arial"/>
        <charset val="1"/>
      </font>
      <fill>
        <patternFill>
          <bgColor rgb="FFFFE699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8B0000"/>
        <name val="Arial"/>
        <charset val="1"/>
      </font>
      <fill>
        <patternFill>
          <bgColor rgb="FFFF9999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833C00"/>
        <name val="Arial"/>
        <charset val="1"/>
      </font>
      <fill>
        <patternFill>
          <bgColor rgb="FFFFE699"/>
        </patternFill>
      </fill>
    </dxf>
    <dxf>
      <font>
        <b/>
        <sz val="10"/>
        <color rgb="FF8B0000"/>
        <name val="Arial"/>
        <charset val="1"/>
      </font>
      <fill>
        <patternFill>
          <bgColor rgb="FFFF9999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sz val="10"/>
        <color rgb="FF833C00"/>
        <name val="Arial"/>
        <charset val="1"/>
      </font>
      <fill>
        <patternFill>
          <bgColor rgb="FFFFE699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808080"/>
        <name val="Arial"/>
        <charset val="1"/>
      </font>
      <fill>
        <patternFill>
          <bgColor rgb="FFF2F2F2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833C00"/>
        <name val="Arial"/>
        <charset val="1"/>
      </font>
      <fill>
        <patternFill>
          <bgColor rgb="FFFCE4D6"/>
        </patternFill>
      </fill>
    </dxf>
    <dxf>
      <font>
        <b/>
        <sz val="9"/>
        <color rgb="FF808080"/>
        <name val="Arial"/>
        <charset val="1"/>
      </font>
      <fill>
        <patternFill>
          <bgColor rgb="FFF2F2F2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833C00"/>
        <name val="Arial"/>
        <charset val="1"/>
      </font>
      <fill>
        <patternFill>
          <bgColor rgb="FFFCE4D6"/>
        </patternFill>
      </fill>
    </dxf>
    <dxf>
      <font>
        <b/>
        <sz val="9"/>
        <color rgb="FF808080"/>
        <name val="Arial"/>
        <charset val="1"/>
      </font>
      <fill>
        <patternFill>
          <bgColor rgb="FFF2F2F2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833C00"/>
        <name val="Arial"/>
        <charset val="1"/>
      </font>
      <fill>
        <patternFill>
          <bgColor rgb="FFFCE4D6"/>
        </patternFill>
      </fill>
    </dxf>
    <dxf>
      <font>
        <b/>
        <sz val="9"/>
        <color rgb="FF808080"/>
        <name val="Arial"/>
        <charset val="1"/>
      </font>
      <fill>
        <patternFill>
          <bgColor rgb="FFF2F2F2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833C00"/>
        <name val="Arial"/>
        <charset val="1"/>
      </font>
      <fill>
        <patternFill>
          <bgColor rgb="FFFCE4D6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833C00"/>
        <name val="Arial"/>
        <charset val="1"/>
      </font>
      <fill>
        <patternFill>
          <bgColor rgb="FFFFE699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8B0000"/>
        <name val="Arial"/>
        <charset val="1"/>
      </font>
      <fill>
        <patternFill>
          <bgColor rgb="FFFF9999"/>
        </patternFill>
      </fill>
    </dxf>
    <dxf>
      <font>
        <b/>
        <sz val="11"/>
        <color rgb="FFA6A6A6"/>
        <name val="Arial"/>
        <charset val="1"/>
      </font>
      <fill>
        <patternFill>
          <bgColor rgb="FFD9D9D9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833C00"/>
        <name val="Arial"/>
        <charset val="1"/>
      </font>
      <fill>
        <patternFill>
          <bgColor rgb="FFFFE699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8B0000"/>
        <name val="Arial"/>
        <charset val="1"/>
      </font>
      <fill>
        <patternFill>
          <bgColor rgb="FFFF9999"/>
        </patternFill>
      </fill>
    </dxf>
    <dxf>
      <font>
        <b/>
        <sz val="11"/>
        <color rgb="FFA6A6A6"/>
        <name val="Arial"/>
        <charset val="1"/>
      </font>
      <fill>
        <patternFill>
          <bgColor rgb="FFD9D9D9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833C00"/>
        <name val="Arial"/>
        <charset val="1"/>
      </font>
      <fill>
        <patternFill>
          <bgColor rgb="FFFFE699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8B0000"/>
        <name val="Arial"/>
        <charset val="1"/>
      </font>
      <fill>
        <patternFill>
          <bgColor rgb="FFFF9999"/>
        </patternFill>
      </fill>
    </dxf>
    <dxf>
      <font>
        <b/>
        <sz val="11"/>
        <color rgb="FFA6A6A6"/>
        <name val="Arial"/>
        <charset val="1"/>
      </font>
      <fill>
        <patternFill>
          <bgColor rgb="FFD9D9D9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833C00"/>
        <name val="Arial"/>
        <charset val="1"/>
      </font>
      <fill>
        <patternFill>
          <bgColor rgb="FFFFE699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8B0000"/>
        <name val="Arial"/>
        <charset val="1"/>
      </font>
      <fill>
        <patternFill>
          <bgColor rgb="FFFF9999"/>
        </patternFill>
      </fill>
    </dxf>
    <dxf>
      <font>
        <b/>
        <sz val="11"/>
        <color rgb="FFA6A6A6"/>
        <name val="Arial"/>
        <charset val="1"/>
      </font>
      <fill>
        <patternFill>
          <bgColor rgb="FFD9D9D9"/>
        </patternFill>
      </fill>
    </dxf>
    <dxf>
      <font>
        <b/>
        <sz val="9"/>
        <color rgb="FF808080"/>
        <name val="Arial"/>
        <charset val="1"/>
      </font>
      <fill>
        <patternFill>
          <bgColor rgb="FFF2F2F2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833C00"/>
        <name val="Arial"/>
        <charset val="1"/>
      </font>
      <fill>
        <patternFill>
          <bgColor rgb="FFFCE4D6"/>
        </patternFill>
      </fill>
    </dxf>
    <dxf>
      <font>
        <b/>
        <sz val="9"/>
        <color rgb="FF808080"/>
        <name val="Arial"/>
        <charset val="1"/>
      </font>
      <fill>
        <patternFill>
          <bgColor rgb="FFF2F2F2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833C00"/>
        <name val="Arial"/>
        <charset val="1"/>
      </font>
      <fill>
        <patternFill>
          <bgColor rgb="FFFCE4D6"/>
        </patternFill>
      </fill>
    </dxf>
    <dxf>
      <font>
        <b/>
        <sz val="9"/>
        <color rgb="FF808080"/>
        <name val="Arial"/>
        <charset val="1"/>
      </font>
      <fill>
        <patternFill>
          <bgColor rgb="FFF2F2F2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833C00"/>
        <name val="Arial"/>
        <charset val="1"/>
      </font>
      <fill>
        <patternFill>
          <bgColor rgb="FFFCE4D6"/>
        </patternFill>
      </fill>
    </dxf>
    <dxf>
      <font>
        <b/>
        <sz val="9"/>
        <color rgb="FF808080"/>
        <name val="Arial"/>
        <charset val="1"/>
      </font>
      <fill>
        <patternFill>
          <bgColor rgb="FFF2F2F2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833C00"/>
        <name val="Arial"/>
        <charset val="1"/>
      </font>
      <fill>
        <patternFill>
          <bgColor rgb="FFFCE4D6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833C00"/>
        <name val="Arial"/>
        <charset val="1"/>
      </font>
      <fill>
        <patternFill>
          <bgColor rgb="FFFFE699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8B0000"/>
        <name val="Arial"/>
        <charset val="1"/>
      </font>
      <fill>
        <patternFill>
          <bgColor rgb="FFFF9999"/>
        </patternFill>
      </fill>
    </dxf>
    <dxf>
      <font>
        <b/>
        <sz val="11"/>
        <color rgb="FFA6A6A6"/>
        <name val="Arial"/>
        <charset val="1"/>
      </font>
      <fill>
        <patternFill>
          <bgColor rgb="FFD9D9D9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833C00"/>
        <name val="Arial"/>
        <charset val="1"/>
      </font>
      <fill>
        <patternFill>
          <bgColor rgb="FFFFE699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8B0000"/>
        <name val="Arial"/>
        <charset val="1"/>
      </font>
      <fill>
        <patternFill>
          <bgColor rgb="FFFF9999"/>
        </patternFill>
      </fill>
    </dxf>
    <dxf>
      <font>
        <b/>
        <sz val="11"/>
        <color rgb="FFA6A6A6"/>
        <name val="Arial"/>
        <charset val="1"/>
      </font>
      <fill>
        <patternFill>
          <bgColor rgb="FFD9D9D9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833C00"/>
        <name val="Arial"/>
        <charset val="1"/>
      </font>
      <fill>
        <patternFill>
          <bgColor rgb="FFFFE699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8B0000"/>
        <name val="Arial"/>
        <charset val="1"/>
      </font>
      <fill>
        <patternFill>
          <bgColor rgb="FFFF9999"/>
        </patternFill>
      </fill>
    </dxf>
    <dxf>
      <font>
        <b/>
        <sz val="11"/>
        <color rgb="FFA6A6A6"/>
        <name val="Arial"/>
        <charset val="1"/>
      </font>
      <fill>
        <patternFill>
          <bgColor rgb="FFD9D9D9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833C00"/>
        <name val="Arial"/>
        <charset val="1"/>
      </font>
      <fill>
        <patternFill>
          <bgColor rgb="FFFFE699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8B0000"/>
        <name val="Arial"/>
        <charset val="1"/>
      </font>
      <fill>
        <patternFill>
          <bgColor rgb="FFFF9999"/>
        </patternFill>
      </fill>
    </dxf>
    <dxf>
      <font>
        <b/>
        <sz val="11"/>
        <color rgb="FFA6A6A6"/>
        <name val="Arial"/>
        <charset val="1"/>
      </font>
      <fill>
        <patternFill>
          <bgColor rgb="FFD9D9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BFBFBF"/>
      <rgbColor rgb="FF808080"/>
      <rgbColor rgb="FF8FAADC"/>
      <rgbColor rgb="FF7030A0"/>
      <rgbColor rgb="FFF7F9FC"/>
      <rgbColor rgb="FFDDEBF7"/>
      <rgbColor rgb="FF660066"/>
      <rgbColor rgb="FFF2F5FA"/>
      <rgbColor rgb="FF0066CC"/>
      <rgbColor rgb="FFD9D9D9"/>
      <rgbColor rgb="FF000080"/>
      <rgbColor rgb="FFFF00FF"/>
      <rgbColor rgb="FFF2F2F2"/>
      <rgbColor rgb="FF00FFFF"/>
      <rgbColor rgb="FF800080"/>
      <rgbColor rgb="FF9C0006"/>
      <rgbColor rgb="FF008080"/>
      <rgbColor rgb="FF0000FF"/>
      <rgbColor rgb="FF00CCFF"/>
      <rgbColor rgb="FFE2EFDA"/>
      <rgbColor rgb="FFC6EFCE"/>
      <rgbColor rgb="FFFFE699"/>
      <rgbColor rgb="FFEDEFF3"/>
      <rgbColor rgb="FFFF9999"/>
      <rgbColor rgb="FFA6A6A6"/>
      <rgbColor rgb="FFFFC7CE"/>
      <rgbColor rgb="FF4472C4"/>
      <rgbColor rgb="FF33CCCC"/>
      <rgbColor rgb="FFF4F7FB"/>
      <rgbColor rgb="FFFCE4D6"/>
      <rgbColor rgb="FFFF9900"/>
      <rgbColor rgb="FFC55A11"/>
      <rgbColor rgb="FF595959"/>
      <rgbColor rgb="FF878787"/>
      <rgbColor rgb="FF1F3864"/>
      <rgbColor rgb="FF70AD47"/>
      <rgbColor rgb="FF006100"/>
      <rgbColor rgb="FF375623"/>
      <rgbColor rgb="FF833C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팀별 월간 가동률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팀별분석!$A$37</c:f>
              <c:strCache>
                <c:ptCount val="1"/>
                <c:pt idx="0">
                  <c:v>사업운영팀 기획1파트</c:v>
                </c:pt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팀별분석!$B$36:$M$36</c:f>
              <c:numCache>
                <c:formatCode>yyyy\-mm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팀별분석!$B$37:$M$37</c:f>
              <c:numCache>
                <c:formatCode>0%</c:formatCode>
                <c:ptCount val="12"/>
                <c:pt idx="0">
                  <c:v>1.1764705882352942</c:v>
                </c:pt>
                <c:pt idx="1">
                  <c:v>1.2235294117647058</c:v>
                </c:pt>
                <c:pt idx="2">
                  <c:v>1.2705882352941174</c:v>
                </c:pt>
                <c:pt idx="3">
                  <c:v>1.2470588235294116</c:v>
                </c:pt>
                <c:pt idx="4">
                  <c:v>1.2</c:v>
                </c:pt>
                <c:pt idx="5">
                  <c:v>0.87058823529411755</c:v>
                </c:pt>
                <c:pt idx="6">
                  <c:v>0.87058823529411755</c:v>
                </c:pt>
                <c:pt idx="7">
                  <c:v>0.91764705882352926</c:v>
                </c:pt>
                <c:pt idx="8">
                  <c:v>0.91764705882352926</c:v>
                </c:pt>
                <c:pt idx="9">
                  <c:v>0.91764705882352926</c:v>
                </c:pt>
                <c:pt idx="10">
                  <c:v>0.91764705882352926</c:v>
                </c:pt>
                <c:pt idx="11">
                  <c:v>0.91764705882352926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C2-4D80-AD20-02EC5C77DE53}"/>
            </c:ext>
          </c:extLst>
        </c:ser>
        <c:ser>
          <c:idx val="1"/>
          <c:order val="1"/>
          <c:tx>
            <c:strRef>
              <c:f>팀별분석!$A$38</c:f>
              <c:strCache>
                <c:ptCount val="1"/>
                <c:pt idx="0">
                  <c:v>사업운영팀 기획2파트</c:v>
                </c:pt>
              </c:strCache>
            </c:strRef>
          </c:tx>
          <c:spPr>
            <a:ln w="219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팀별분석!$B$36:$M$36</c:f>
              <c:numCache>
                <c:formatCode>yyyy\-mm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팀별분석!$B$38:$M$38</c:f>
              <c:numCache>
                <c:formatCode>0%</c:formatCode>
                <c:ptCount val="12"/>
                <c:pt idx="0">
                  <c:v>0.67647058823529405</c:v>
                </c:pt>
                <c:pt idx="1">
                  <c:v>0.67647058823529405</c:v>
                </c:pt>
                <c:pt idx="2">
                  <c:v>1.1470588235294117</c:v>
                </c:pt>
                <c:pt idx="3">
                  <c:v>1.1470588235294117</c:v>
                </c:pt>
                <c:pt idx="4">
                  <c:v>1.1470588235294117</c:v>
                </c:pt>
                <c:pt idx="5">
                  <c:v>1.1470588235294117</c:v>
                </c:pt>
                <c:pt idx="6">
                  <c:v>0.67647058823529405</c:v>
                </c:pt>
                <c:pt idx="7">
                  <c:v>0.23529411764705885</c:v>
                </c:pt>
                <c:pt idx="8">
                  <c:v>0.23529411764705885</c:v>
                </c:pt>
                <c:pt idx="9">
                  <c:v>0.23529411764705885</c:v>
                </c:pt>
                <c:pt idx="10">
                  <c:v>0.23529411764705885</c:v>
                </c:pt>
                <c:pt idx="11">
                  <c:v>0.23529411764705885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C2-4D80-AD20-02EC5C77DE53}"/>
            </c:ext>
          </c:extLst>
        </c:ser>
        <c:ser>
          <c:idx val="2"/>
          <c:order val="2"/>
          <c:tx>
            <c:strRef>
              <c:f>팀별분석!$A$39</c:f>
              <c:strCache>
                <c:ptCount val="1"/>
                <c:pt idx="0">
                  <c:v>신사업팀</c:v>
                </c:pt>
              </c:strCache>
            </c:strRef>
          </c:tx>
          <c:spPr>
            <a:ln w="21960">
              <a:solidFill>
                <a:srgbClr val="8FAAD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팀별분석!$B$36:$M$36</c:f>
              <c:numCache>
                <c:formatCode>yyyy\-mm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팀별분석!$B$39:$M$39</c:f>
              <c:numCache>
                <c:formatCode>0%</c:formatCode>
                <c:ptCount val="12"/>
                <c:pt idx="0">
                  <c:v>0.82352941176470595</c:v>
                </c:pt>
                <c:pt idx="1">
                  <c:v>0.82352941176470595</c:v>
                </c:pt>
                <c:pt idx="2">
                  <c:v>0.82352941176470595</c:v>
                </c:pt>
                <c:pt idx="3">
                  <c:v>0.82352941176470595</c:v>
                </c:pt>
                <c:pt idx="4">
                  <c:v>0.58823529411764708</c:v>
                </c:pt>
                <c:pt idx="5">
                  <c:v>0.58823529411764708</c:v>
                </c:pt>
                <c:pt idx="6">
                  <c:v>0.43137254901960792</c:v>
                </c:pt>
                <c:pt idx="7">
                  <c:v>0.43137254901960792</c:v>
                </c:pt>
                <c:pt idx="8">
                  <c:v>0.43137254901960792</c:v>
                </c:pt>
                <c:pt idx="9">
                  <c:v>0.43137254901960792</c:v>
                </c:pt>
                <c:pt idx="10">
                  <c:v>0.43137254901960792</c:v>
                </c:pt>
                <c:pt idx="11">
                  <c:v>0.43137254901960792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C2-4D80-AD20-02EC5C77DE53}"/>
            </c:ext>
          </c:extLst>
        </c:ser>
        <c:ser>
          <c:idx val="3"/>
          <c:order val="3"/>
          <c:tx>
            <c:strRef>
              <c:f>팀별분석!$A$40</c:f>
              <c:strCache>
                <c:ptCount val="1"/>
                <c:pt idx="0">
                  <c:v>경영본부 사업기획실</c:v>
                </c:pt>
              </c:strCache>
            </c:strRef>
          </c:tx>
          <c:spPr>
            <a:ln w="219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팀별분석!$B$36:$M$36</c:f>
              <c:numCache>
                <c:formatCode>yyyy\-mm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팀별분석!$B$40:$M$40</c:f>
              <c:numCache>
                <c:formatCode>0%</c:formatCode>
                <c:ptCount val="12"/>
                <c:pt idx="0">
                  <c:v>0.86274509803921584</c:v>
                </c:pt>
                <c:pt idx="1">
                  <c:v>0.86274509803921584</c:v>
                </c:pt>
                <c:pt idx="2">
                  <c:v>0.78431372549019618</c:v>
                </c:pt>
                <c:pt idx="3">
                  <c:v>0.78431372549019618</c:v>
                </c:pt>
                <c:pt idx="4">
                  <c:v>0.78431372549019618</c:v>
                </c:pt>
                <c:pt idx="5">
                  <c:v>0.78431372549019618</c:v>
                </c:pt>
                <c:pt idx="6">
                  <c:v>0.86274509803921584</c:v>
                </c:pt>
                <c:pt idx="7">
                  <c:v>0.86274509803921584</c:v>
                </c:pt>
                <c:pt idx="8">
                  <c:v>0.86274509803921584</c:v>
                </c:pt>
                <c:pt idx="9">
                  <c:v>1.0980392156862746</c:v>
                </c:pt>
                <c:pt idx="10">
                  <c:v>1.1372549019607843</c:v>
                </c:pt>
                <c:pt idx="11">
                  <c:v>1.1372549019607843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C2-4D80-AD20-02EC5C77DE53}"/>
            </c:ext>
          </c:extLst>
        </c:ser>
        <c:ser>
          <c:idx val="4"/>
          <c:order val="4"/>
          <c:tx>
            <c:strRef>
              <c:f>팀별분석!$A$41</c:f>
              <c:strCache>
                <c:ptCount val="1"/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팀별분석!$B$36:$M$36</c:f>
              <c:numCache>
                <c:formatCode>yyyy\-mm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팀별분석!$B$41:$M$41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C2-4D80-AD20-02EC5C77DE53}"/>
            </c:ext>
          </c:extLst>
        </c:ser>
        <c:ser>
          <c:idx val="5"/>
          <c:order val="5"/>
          <c:tx>
            <c:strRef>
              <c:f>팀별분석!$A$42</c:f>
              <c:strCache>
                <c:ptCount val="1"/>
              </c:strCache>
            </c:strRef>
          </c:tx>
          <c:spPr>
            <a:ln w="219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팀별분석!$B$36:$M$36</c:f>
              <c:numCache>
                <c:formatCode>yyyy\-mm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팀별분석!$B$42:$M$42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C2-4D80-AD20-02EC5C77DE53}"/>
            </c:ext>
          </c:extLst>
        </c:ser>
        <c:ser>
          <c:idx val="6"/>
          <c:order val="6"/>
          <c:tx>
            <c:strRef>
              <c:f>팀별분석!$A$43</c:f>
              <c:strCache>
                <c:ptCount val="1"/>
              </c:strCache>
            </c:strRef>
          </c:tx>
          <c:spPr>
            <a:ln w="21960">
              <a:solidFill>
                <a:srgbClr val="8FAAD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팀별분석!$B$36:$M$36</c:f>
              <c:numCache>
                <c:formatCode>yyyy\-mm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팀별분석!$B$43:$M$43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C2-4D80-AD20-02EC5C77DE53}"/>
            </c:ext>
          </c:extLst>
        </c:ser>
        <c:ser>
          <c:idx val="7"/>
          <c:order val="7"/>
          <c:tx>
            <c:strRef>
              <c:f>팀별분석!$A$44</c:f>
              <c:strCache>
                <c:ptCount val="1"/>
              </c:strCache>
            </c:strRef>
          </c:tx>
          <c:spPr>
            <a:ln w="219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팀별분석!$B$36:$M$36</c:f>
              <c:numCache>
                <c:formatCode>yyyy\-mm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팀별분석!$B$44:$M$44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CC2-4D80-AD20-02EC5C77D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0023377"/>
        <c:axId val="76169210"/>
      </c:lineChart>
      <c:dateAx>
        <c:axId val="30023377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76169210"/>
        <c:crosses val="autoZero"/>
        <c:auto val="1"/>
        <c:lblOffset val="100"/>
        <c:baseTimeUnit val="months"/>
      </c:dateAx>
      <c:valAx>
        <c:axId val="761692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300233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팀별 목표 수주액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vs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확정 수주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상세현황!$F$91</c:f>
              <c:strCache>
                <c:ptCount val="1"/>
                <c:pt idx="0">
                  <c:v>목표 수주액</c:v>
                </c:pt>
              </c:strCache>
            </c:strRef>
          </c:tx>
          <c:spPr>
            <a:solidFill>
              <a:srgbClr val="D9D9D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상세현황!$E$92:$E$99</c:f>
              <c:strCache>
                <c:ptCount val="8"/>
                <c:pt idx="0">
                  <c:v>사업운영팀 기획1파트</c:v>
                </c:pt>
                <c:pt idx="1">
                  <c:v>사업운영팀 기획2파트</c:v>
                </c:pt>
                <c:pt idx="2">
                  <c:v>신사업팀</c:v>
                </c:pt>
                <c:pt idx="3">
                  <c:v>경영본부 사업기획실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strCache>
            </c:strRef>
          </c:cat>
          <c:val>
            <c:numRef>
              <c:f>상세현황!$F$92:$F$99</c:f>
              <c:numCache>
                <c:formatCode>#,##0;\(#,##0\);\-</c:formatCode>
                <c:ptCount val="8"/>
                <c:pt idx="0">
                  <c:v>1000000000</c:v>
                </c:pt>
                <c:pt idx="1">
                  <c:v>500000000</c:v>
                </c:pt>
                <c:pt idx="2">
                  <c:v>250000000</c:v>
                </c:pt>
                <c:pt idx="3">
                  <c:v>10000000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6-4848-8662-10655F7767A9}"/>
            </c:ext>
          </c:extLst>
        </c:ser>
        <c:ser>
          <c:idx val="1"/>
          <c:order val="1"/>
          <c:tx>
            <c:strRef>
              <c:f>상세현황!$G$91</c:f>
              <c:strCache>
                <c:ptCount val="1"/>
                <c:pt idx="0">
                  <c:v>확정 수주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상세현황!$E$92:$E$99</c:f>
              <c:strCache>
                <c:ptCount val="8"/>
                <c:pt idx="0">
                  <c:v>사업운영팀 기획1파트</c:v>
                </c:pt>
                <c:pt idx="1">
                  <c:v>사업운영팀 기획2파트</c:v>
                </c:pt>
                <c:pt idx="2">
                  <c:v>신사업팀</c:v>
                </c:pt>
                <c:pt idx="3">
                  <c:v>경영본부 사업기획실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strCache>
            </c:strRef>
          </c:cat>
          <c:val>
            <c:numRef>
              <c:f>상세현황!$G$92:$G$99</c:f>
              <c:numCache>
                <c:formatCode>#,##0;\(#,##0\);\-</c:formatCode>
                <c:ptCount val="8"/>
                <c:pt idx="0">
                  <c:v>990000000</c:v>
                </c:pt>
                <c:pt idx="1">
                  <c:v>430000000</c:v>
                </c:pt>
                <c:pt idx="2">
                  <c:v>128108108.10810809</c:v>
                </c:pt>
                <c:pt idx="3">
                  <c:v>91891891.891891897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86-4848-8662-10655F776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958330"/>
        <c:axId val="52267728"/>
      </c:barChart>
      <c:catAx>
        <c:axId val="559583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52267728"/>
        <c:crosses val="autoZero"/>
        <c:auto val="1"/>
        <c:lblAlgn val="ctr"/>
        <c:lblOffset val="100"/>
        <c:noMultiLvlLbl val="0"/>
      </c:catAx>
      <c:valAx>
        <c:axId val="522677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559583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팀별 월간 가동률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팀별분석!$A$37</c:f>
              <c:strCache>
                <c:ptCount val="1"/>
                <c:pt idx="0">
                  <c:v>사업운영팀 기획1파트</c:v>
                </c:pt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팀별분석!$B$36:$M$36</c:f>
              <c:numCache>
                <c:formatCode>yyyy\-mm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팀별분석!$B$37:$M$37</c:f>
              <c:numCache>
                <c:formatCode>0%</c:formatCode>
                <c:ptCount val="12"/>
                <c:pt idx="0">
                  <c:v>1.1764705882352942</c:v>
                </c:pt>
                <c:pt idx="1">
                  <c:v>1.2235294117647058</c:v>
                </c:pt>
                <c:pt idx="2">
                  <c:v>1.2705882352941174</c:v>
                </c:pt>
                <c:pt idx="3">
                  <c:v>1.2470588235294116</c:v>
                </c:pt>
                <c:pt idx="4">
                  <c:v>1.2</c:v>
                </c:pt>
                <c:pt idx="5">
                  <c:v>0.87058823529411755</c:v>
                </c:pt>
                <c:pt idx="6">
                  <c:v>0.87058823529411755</c:v>
                </c:pt>
                <c:pt idx="7">
                  <c:v>0.91764705882352926</c:v>
                </c:pt>
                <c:pt idx="8">
                  <c:v>0.91764705882352926</c:v>
                </c:pt>
                <c:pt idx="9">
                  <c:v>0.91764705882352926</c:v>
                </c:pt>
                <c:pt idx="10">
                  <c:v>0.91764705882352926</c:v>
                </c:pt>
                <c:pt idx="11">
                  <c:v>0.91764705882352926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F0-48DE-BB6F-6966DAAAD195}"/>
            </c:ext>
          </c:extLst>
        </c:ser>
        <c:ser>
          <c:idx val="1"/>
          <c:order val="1"/>
          <c:tx>
            <c:strRef>
              <c:f>팀별분석!$A$38</c:f>
              <c:strCache>
                <c:ptCount val="1"/>
                <c:pt idx="0">
                  <c:v>사업운영팀 기획2파트</c:v>
                </c:pt>
              </c:strCache>
            </c:strRef>
          </c:tx>
          <c:spPr>
            <a:ln w="219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팀별분석!$B$36:$M$36</c:f>
              <c:numCache>
                <c:formatCode>yyyy\-mm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팀별분석!$B$38:$M$38</c:f>
              <c:numCache>
                <c:formatCode>0%</c:formatCode>
                <c:ptCount val="12"/>
                <c:pt idx="0">
                  <c:v>0.67647058823529405</c:v>
                </c:pt>
                <c:pt idx="1">
                  <c:v>0.67647058823529405</c:v>
                </c:pt>
                <c:pt idx="2">
                  <c:v>1.1470588235294117</c:v>
                </c:pt>
                <c:pt idx="3">
                  <c:v>1.1470588235294117</c:v>
                </c:pt>
                <c:pt idx="4">
                  <c:v>1.1470588235294117</c:v>
                </c:pt>
                <c:pt idx="5">
                  <c:v>1.1470588235294117</c:v>
                </c:pt>
                <c:pt idx="6">
                  <c:v>0.67647058823529405</c:v>
                </c:pt>
                <c:pt idx="7">
                  <c:v>0.23529411764705885</c:v>
                </c:pt>
                <c:pt idx="8">
                  <c:v>0.23529411764705885</c:v>
                </c:pt>
                <c:pt idx="9">
                  <c:v>0.23529411764705885</c:v>
                </c:pt>
                <c:pt idx="10">
                  <c:v>0.23529411764705885</c:v>
                </c:pt>
                <c:pt idx="11">
                  <c:v>0.23529411764705885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F0-48DE-BB6F-6966DAAAD195}"/>
            </c:ext>
          </c:extLst>
        </c:ser>
        <c:ser>
          <c:idx val="2"/>
          <c:order val="2"/>
          <c:tx>
            <c:strRef>
              <c:f>팀별분석!$A$39</c:f>
              <c:strCache>
                <c:ptCount val="1"/>
                <c:pt idx="0">
                  <c:v>신사업팀</c:v>
                </c:pt>
              </c:strCache>
            </c:strRef>
          </c:tx>
          <c:spPr>
            <a:ln w="21960">
              <a:solidFill>
                <a:srgbClr val="8FAAD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팀별분석!$B$36:$M$36</c:f>
              <c:numCache>
                <c:formatCode>yyyy\-mm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팀별분석!$B$39:$M$39</c:f>
              <c:numCache>
                <c:formatCode>0%</c:formatCode>
                <c:ptCount val="12"/>
                <c:pt idx="0">
                  <c:v>0.82352941176470595</c:v>
                </c:pt>
                <c:pt idx="1">
                  <c:v>0.82352941176470595</c:v>
                </c:pt>
                <c:pt idx="2">
                  <c:v>0.82352941176470595</c:v>
                </c:pt>
                <c:pt idx="3">
                  <c:v>0.82352941176470595</c:v>
                </c:pt>
                <c:pt idx="4">
                  <c:v>0.58823529411764708</c:v>
                </c:pt>
                <c:pt idx="5">
                  <c:v>0.58823529411764708</c:v>
                </c:pt>
                <c:pt idx="6">
                  <c:v>0.43137254901960792</c:v>
                </c:pt>
                <c:pt idx="7">
                  <c:v>0.43137254901960792</c:v>
                </c:pt>
                <c:pt idx="8">
                  <c:v>0.43137254901960792</c:v>
                </c:pt>
                <c:pt idx="9">
                  <c:v>0.43137254901960792</c:v>
                </c:pt>
                <c:pt idx="10">
                  <c:v>0.43137254901960792</c:v>
                </c:pt>
                <c:pt idx="11">
                  <c:v>0.43137254901960792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F0-48DE-BB6F-6966DAAAD195}"/>
            </c:ext>
          </c:extLst>
        </c:ser>
        <c:ser>
          <c:idx val="3"/>
          <c:order val="3"/>
          <c:tx>
            <c:strRef>
              <c:f>팀별분석!$A$40</c:f>
              <c:strCache>
                <c:ptCount val="1"/>
                <c:pt idx="0">
                  <c:v>경영본부 사업기획실</c:v>
                </c:pt>
              </c:strCache>
            </c:strRef>
          </c:tx>
          <c:spPr>
            <a:ln w="219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팀별분석!$B$36:$M$36</c:f>
              <c:numCache>
                <c:formatCode>yyyy\-mm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팀별분석!$B$40:$M$40</c:f>
              <c:numCache>
                <c:formatCode>0%</c:formatCode>
                <c:ptCount val="12"/>
                <c:pt idx="0">
                  <c:v>0.86274509803921584</c:v>
                </c:pt>
                <c:pt idx="1">
                  <c:v>0.86274509803921584</c:v>
                </c:pt>
                <c:pt idx="2">
                  <c:v>0.78431372549019618</c:v>
                </c:pt>
                <c:pt idx="3">
                  <c:v>0.78431372549019618</c:v>
                </c:pt>
                <c:pt idx="4">
                  <c:v>0.78431372549019618</c:v>
                </c:pt>
                <c:pt idx="5">
                  <c:v>0.78431372549019618</c:v>
                </c:pt>
                <c:pt idx="6">
                  <c:v>0.86274509803921584</c:v>
                </c:pt>
                <c:pt idx="7">
                  <c:v>0.86274509803921584</c:v>
                </c:pt>
                <c:pt idx="8">
                  <c:v>0.86274509803921584</c:v>
                </c:pt>
                <c:pt idx="9">
                  <c:v>1.0980392156862746</c:v>
                </c:pt>
                <c:pt idx="10">
                  <c:v>1.1372549019607843</c:v>
                </c:pt>
                <c:pt idx="11">
                  <c:v>1.1372549019607843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F0-48DE-BB6F-6966DAAAD195}"/>
            </c:ext>
          </c:extLst>
        </c:ser>
        <c:ser>
          <c:idx val="4"/>
          <c:order val="4"/>
          <c:tx>
            <c:strRef>
              <c:f>팀별분석!$A$41</c:f>
              <c:strCache>
                <c:ptCount val="1"/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팀별분석!$B$36:$M$36</c:f>
              <c:numCache>
                <c:formatCode>yyyy\-mm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팀별분석!$B$41:$M$41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F0-48DE-BB6F-6966DAAAD195}"/>
            </c:ext>
          </c:extLst>
        </c:ser>
        <c:ser>
          <c:idx val="5"/>
          <c:order val="5"/>
          <c:tx>
            <c:strRef>
              <c:f>팀별분석!$A$42</c:f>
              <c:strCache>
                <c:ptCount val="1"/>
              </c:strCache>
            </c:strRef>
          </c:tx>
          <c:spPr>
            <a:ln w="219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팀별분석!$B$36:$M$36</c:f>
              <c:numCache>
                <c:formatCode>yyyy\-mm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팀별분석!$B$42:$M$42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8F0-48DE-BB6F-6966DAAAD195}"/>
            </c:ext>
          </c:extLst>
        </c:ser>
        <c:ser>
          <c:idx val="6"/>
          <c:order val="6"/>
          <c:tx>
            <c:strRef>
              <c:f>팀별분석!$A$43</c:f>
              <c:strCache>
                <c:ptCount val="1"/>
              </c:strCache>
            </c:strRef>
          </c:tx>
          <c:spPr>
            <a:ln w="21960">
              <a:solidFill>
                <a:srgbClr val="8FAAD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팀별분석!$B$36:$M$36</c:f>
              <c:numCache>
                <c:formatCode>yyyy\-mm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팀별분석!$B$43:$M$43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8F0-48DE-BB6F-6966DAAAD195}"/>
            </c:ext>
          </c:extLst>
        </c:ser>
        <c:ser>
          <c:idx val="7"/>
          <c:order val="7"/>
          <c:tx>
            <c:strRef>
              <c:f>팀별분석!$A$44</c:f>
              <c:strCache>
                <c:ptCount val="1"/>
              </c:strCache>
            </c:strRef>
          </c:tx>
          <c:spPr>
            <a:ln w="2196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팀별분석!$B$36:$M$36</c:f>
              <c:numCache>
                <c:formatCode>yyyy\-mm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팀별분석!$B$44:$M$44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8F0-48DE-BB6F-6966DAAAD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688443"/>
        <c:axId val="51126336"/>
      </c:lineChart>
      <c:dateAx>
        <c:axId val="4688443"/>
        <c:scaling>
          <c:orientation val="minMax"/>
        </c:scaling>
        <c:delete val="0"/>
        <c:axPos val="b"/>
        <c:numFmt formatCode="yyyy\-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51126336"/>
        <c:crosses val="autoZero"/>
        <c:auto val="1"/>
        <c:lblOffset val="100"/>
        <c:baseTimeUnit val="months"/>
      </c:dateAx>
      <c:valAx>
        <c:axId val="511263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ko-KR" altLang="en-US" sz="1000" b="1" strike="noStrike" spc="-1">
                    <a:solidFill>
                      <a:srgbClr val="000000"/>
                    </a:solidFill>
                    <a:latin typeface="Calibri"/>
                  </a:rPr>
                  <a:t>가동률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46884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연간 가용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M/M vs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실제 투입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M/M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상세현황!$B$91</c:f>
              <c:strCache>
                <c:ptCount val="1"/>
                <c:pt idx="0">
                  <c:v>연간 가용 M/M</c:v>
                </c:pt>
              </c:strCache>
            </c:strRef>
          </c:tx>
          <c:spPr>
            <a:solidFill>
              <a:srgbClr val="BFBFBF"/>
            </a:solidFill>
            <a:ln w="0">
              <a:noFill/>
            </a:ln>
          </c:spPr>
          <c:invertIfNegative val="0"/>
          <c:cat>
            <c:strRef>
              <c:f>상세현황!$A$92:$A$99</c:f>
              <c:strCache>
                <c:ptCount val="8"/>
                <c:pt idx="0">
                  <c:v>사업운영팀 기획1파트</c:v>
                </c:pt>
                <c:pt idx="1">
                  <c:v>사업운영팀 기획2파트</c:v>
                </c:pt>
                <c:pt idx="2">
                  <c:v>신사업팀</c:v>
                </c:pt>
                <c:pt idx="3">
                  <c:v>경영본부 사업기획실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strCache>
            </c:strRef>
          </c:cat>
          <c:val>
            <c:numRef>
              <c:f>상세현황!$B$92:$B$99</c:f>
              <c:numCache>
                <c:formatCode>0.00;\(0.00\);\-</c:formatCode>
                <c:ptCount val="8"/>
                <c:pt idx="0">
                  <c:v>51</c:v>
                </c:pt>
                <c:pt idx="1">
                  <c:v>40.799999999999997</c:v>
                </c:pt>
                <c:pt idx="2">
                  <c:v>30.599999999999998</c:v>
                </c:pt>
                <c:pt idx="3">
                  <c:v>30.599999999999998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3-4C86-8086-1CFB17F35C8A}"/>
            </c:ext>
          </c:extLst>
        </c:ser>
        <c:ser>
          <c:idx val="1"/>
          <c:order val="1"/>
          <c:tx>
            <c:strRef>
              <c:f>상세현황!$C$91</c:f>
              <c:strCache>
                <c:ptCount val="1"/>
                <c:pt idx="0">
                  <c:v>연간 투입 M/M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cat>
            <c:strRef>
              <c:f>상세현황!$A$92:$A$99</c:f>
              <c:strCache>
                <c:ptCount val="8"/>
                <c:pt idx="0">
                  <c:v>사업운영팀 기획1파트</c:v>
                </c:pt>
                <c:pt idx="1">
                  <c:v>사업운영팀 기획2파트</c:v>
                </c:pt>
                <c:pt idx="2">
                  <c:v>신사업팀</c:v>
                </c:pt>
                <c:pt idx="3">
                  <c:v>경영본부 사업기획실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strCache>
            </c:strRef>
          </c:cat>
          <c:val>
            <c:numRef>
              <c:f>상세현황!$C$92:$C$99</c:f>
              <c:numCache>
                <c:formatCode>0.00;\(0.00\);\-</c:formatCode>
                <c:ptCount val="8"/>
                <c:pt idx="0">
                  <c:v>52.899999999999991</c:v>
                </c:pt>
                <c:pt idx="1">
                  <c:v>26.5</c:v>
                </c:pt>
                <c:pt idx="2">
                  <c:v>18</c:v>
                </c:pt>
                <c:pt idx="3">
                  <c:v>27.599999999999998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23-4C86-8086-1CFB17F35C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380019"/>
        <c:axId val="42886215"/>
      </c:barChart>
      <c:catAx>
        <c:axId val="153800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42886215"/>
        <c:crosses val="autoZero"/>
        <c:auto val="1"/>
        <c:lblAlgn val="ctr"/>
        <c:lblOffset val="100"/>
        <c:noMultiLvlLbl val="0"/>
      </c:catAx>
      <c:valAx>
        <c:axId val="428862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M/M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;\(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153800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팀별 목표 수주액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vs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확정 수주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상세현황!$F$91</c:f>
              <c:strCache>
                <c:ptCount val="1"/>
                <c:pt idx="0">
                  <c:v>목표 수주액</c:v>
                </c:pt>
              </c:strCache>
            </c:strRef>
          </c:tx>
          <c:spPr>
            <a:solidFill>
              <a:srgbClr val="BFBFB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상세현황!$E$92:$E$99</c:f>
              <c:strCache>
                <c:ptCount val="8"/>
                <c:pt idx="0">
                  <c:v>사업운영팀 기획1파트</c:v>
                </c:pt>
                <c:pt idx="1">
                  <c:v>사업운영팀 기획2파트</c:v>
                </c:pt>
                <c:pt idx="2">
                  <c:v>신사업팀</c:v>
                </c:pt>
                <c:pt idx="3">
                  <c:v>경영본부 사업기획실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strCache>
            </c:strRef>
          </c:cat>
          <c:val>
            <c:numRef>
              <c:f>상세현황!$F$92:$F$99</c:f>
              <c:numCache>
                <c:formatCode>#,##0;\(#,##0\);\-</c:formatCode>
                <c:ptCount val="8"/>
                <c:pt idx="0">
                  <c:v>1000000000</c:v>
                </c:pt>
                <c:pt idx="1">
                  <c:v>500000000</c:v>
                </c:pt>
                <c:pt idx="2">
                  <c:v>250000000</c:v>
                </c:pt>
                <c:pt idx="3">
                  <c:v>10000000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E-4820-BC53-6C6E039AA5D7}"/>
            </c:ext>
          </c:extLst>
        </c:ser>
        <c:ser>
          <c:idx val="1"/>
          <c:order val="1"/>
          <c:tx>
            <c:strRef>
              <c:f>상세현황!$G$91</c:f>
              <c:strCache>
                <c:ptCount val="1"/>
                <c:pt idx="0">
                  <c:v>확정 수주</c:v>
                </c:pt>
              </c:strCache>
            </c:strRef>
          </c:tx>
          <c:spPr>
            <a:solidFill>
              <a:srgbClr val="C000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상세현황!$E$92:$E$99</c:f>
              <c:strCache>
                <c:ptCount val="8"/>
                <c:pt idx="0">
                  <c:v>사업운영팀 기획1파트</c:v>
                </c:pt>
                <c:pt idx="1">
                  <c:v>사업운영팀 기획2파트</c:v>
                </c:pt>
                <c:pt idx="2">
                  <c:v>신사업팀</c:v>
                </c:pt>
                <c:pt idx="3">
                  <c:v>경영본부 사업기획실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strCache>
            </c:strRef>
          </c:cat>
          <c:val>
            <c:numRef>
              <c:f>상세현황!$G$92:$G$99</c:f>
              <c:numCache>
                <c:formatCode>#,##0;\(#,##0\);\-</c:formatCode>
                <c:ptCount val="8"/>
                <c:pt idx="0">
                  <c:v>990000000</c:v>
                </c:pt>
                <c:pt idx="1">
                  <c:v>430000000</c:v>
                </c:pt>
                <c:pt idx="2">
                  <c:v>128108108.10810809</c:v>
                </c:pt>
                <c:pt idx="3">
                  <c:v>91891891.891891897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AE-4820-BC53-6C6E039AA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282340"/>
        <c:axId val="99360704"/>
      </c:barChart>
      <c:catAx>
        <c:axId val="862823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99360704"/>
        <c:crosses val="autoZero"/>
        <c:auto val="1"/>
        <c:lblAlgn val="ctr"/>
        <c:lblOffset val="100"/>
        <c:noMultiLvlLbl val="0"/>
      </c:catAx>
      <c:valAx>
        <c:axId val="993607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862823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M/M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당 예산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·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이윤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상세현황!$J$91</c:f>
              <c:strCache>
                <c:ptCount val="1"/>
                <c:pt idx="0">
                  <c:v>M/M당 예산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상세현황!$I$92:$I$99</c:f>
              <c:strCache>
                <c:ptCount val="8"/>
                <c:pt idx="0">
                  <c:v>사업운영팀 기획1파트</c:v>
                </c:pt>
                <c:pt idx="1">
                  <c:v>사업운영팀 기획2파트</c:v>
                </c:pt>
                <c:pt idx="2">
                  <c:v>신사업팀</c:v>
                </c:pt>
                <c:pt idx="3">
                  <c:v>경영본부 사업기획실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strCache>
            </c:strRef>
          </c:cat>
          <c:val>
            <c:numRef>
              <c:f>상세현황!$J$92:$J$99</c:f>
              <c:numCache>
                <c:formatCode>#,##0;\(#,##0\);\-</c:formatCode>
                <c:ptCount val="8"/>
                <c:pt idx="0">
                  <c:v>34982332.155477032</c:v>
                </c:pt>
                <c:pt idx="1">
                  <c:v>21938775.51020408</c:v>
                </c:pt>
                <c:pt idx="2">
                  <c:v>8212058.2120582117</c:v>
                </c:pt>
                <c:pt idx="3">
                  <c:v>6381381.3813813832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5-401C-98FD-256471E48FF8}"/>
            </c:ext>
          </c:extLst>
        </c:ser>
        <c:ser>
          <c:idx val="1"/>
          <c:order val="1"/>
          <c:tx>
            <c:strRef>
              <c:f>상세현황!$K$91</c:f>
              <c:strCache>
                <c:ptCount val="1"/>
                <c:pt idx="0">
                  <c:v>M/M당 이윤</c:v>
                </c:pt>
              </c:strCache>
            </c:strRef>
          </c:tx>
          <c:spPr>
            <a:solidFill>
              <a:srgbClr val="C55A1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상세현황!$I$92:$I$99</c:f>
              <c:strCache>
                <c:ptCount val="8"/>
                <c:pt idx="0">
                  <c:v>사업운영팀 기획1파트</c:v>
                </c:pt>
                <c:pt idx="1">
                  <c:v>사업운영팀 기획2파트</c:v>
                </c:pt>
                <c:pt idx="2">
                  <c:v>신사업팀</c:v>
                </c:pt>
                <c:pt idx="3">
                  <c:v>경영본부 사업기획실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strCache>
            </c:strRef>
          </c:cat>
          <c:val>
            <c:numRef>
              <c:f>상세현황!$K$92:$K$99</c:f>
              <c:numCache>
                <c:formatCode>#,##0;\(#,##0\);\-</c:formatCode>
                <c:ptCount val="8"/>
                <c:pt idx="0">
                  <c:v>10318021.201413427</c:v>
                </c:pt>
                <c:pt idx="1">
                  <c:v>5918367.3469387749</c:v>
                </c:pt>
                <c:pt idx="2">
                  <c:v>1642411.6424116422</c:v>
                </c:pt>
                <c:pt idx="3">
                  <c:v>998498.49849849858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05-401C-98FD-256471E48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758608"/>
        <c:axId val="27226687"/>
      </c:barChart>
      <c:catAx>
        <c:axId val="7875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27226687"/>
        <c:crosses val="autoZero"/>
        <c:auto val="1"/>
        <c:lblAlgn val="ctr"/>
        <c:lblOffset val="100"/>
        <c:noMultiLvlLbl val="0"/>
      </c:catAx>
      <c:valAx>
        <c:axId val="272266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787586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팀별 연간 여유 </a:t>
            </a: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M/M (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음수 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= </a:t>
            </a:r>
            <a:r>
              <a:rPr lang="ko-KR" altLang="en-US" sz="1800" b="1" strike="noStrike" spc="-1">
                <a:solidFill>
                  <a:srgbClr val="000000"/>
                </a:solidFill>
                <a:latin typeface="Calibri"/>
              </a:rPr>
              <a:t>인력 부족</a:t>
            </a:r>
            <a:r>
              <a:rPr lang="en-US" altLang="ko-KR" sz="1800" b="1" strike="noStrike" spc="-1">
                <a:solidFill>
                  <a:srgbClr val="000000"/>
                </a:solidFill>
                <a:latin typeface="Calibri"/>
              </a:rPr>
              <a:t>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팀별분석!$N$48</c:f>
              <c:strCache>
                <c:ptCount val="1"/>
                <c:pt idx="0">
                  <c:v>연간 합계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팀별분석!$A$49:$A$56</c:f>
              <c:strCache>
                <c:ptCount val="4"/>
                <c:pt idx="0">
                  <c:v>사업운영팀 기획1파트</c:v>
                </c:pt>
                <c:pt idx="1">
                  <c:v>사업운영팀 기획2파트</c:v>
                </c:pt>
                <c:pt idx="2">
                  <c:v>신사업팀</c:v>
                </c:pt>
                <c:pt idx="3">
                  <c:v>경영본부 사업기획실</c:v>
                </c:pt>
              </c:strCache>
            </c:strRef>
          </c:cat>
          <c:val>
            <c:numRef>
              <c:f>팀별분석!$N$49:$N$56</c:f>
              <c:numCache>
                <c:formatCode>0.00;\(0.00\);\-</c:formatCode>
                <c:ptCount val="8"/>
                <c:pt idx="0">
                  <c:v>-1.8999999999999928</c:v>
                </c:pt>
                <c:pt idx="1">
                  <c:v>14.3</c:v>
                </c:pt>
                <c:pt idx="2">
                  <c:v>12.599999999999994</c:v>
                </c:pt>
                <c:pt idx="3">
                  <c:v>2.9999999999999973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74-4C04-9F66-6C63E1BF5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605731"/>
        <c:axId val="63094699"/>
      </c:barChart>
      <c:catAx>
        <c:axId val="256057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63094699"/>
        <c:crosses val="autoZero"/>
        <c:auto val="1"/>
        <c:lblAlgn val="ctr"/>
        <c:lblOffset val="100"/>
        <c:noMultiLvlLbl val="0"/>
      </c:catAx>
      <c:valAx>
        <c:axId val="6309469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;\(0.0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ko-KR"/>
          </a:p>
        </c:txPr>
        <c:crossAx val="256057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ko-K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201600</xdr:rowOff>
    </xdr:from>
    <xdr:to>
      <xdr:col>10</xdr:col>
      <xdr:colOff>196560</xdr:colOff>
      <xdr:row>58</xdr:row>
      <xdr:rowOff>133200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60</xdr:row>
      <xdr:rowOff>173880</xdr:rowOff>
    </xdr:from>
    <xdr:to>
      <xdr:col>10</xdr:col>
      <xdr:colOff>196560</xdr:colOff>
      <xdr:row>81</xdr:row>
      <xdr:rowOff>132840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100800</xdr:rowOff>
    </xdr:from>
    <xdr:to>
      <xdr:col>6</xdr:col>
      <xdr:colOff>221760</xdr:colOff>
      <xdr:row>25</xdr:row>
      <xdr:rowOff>81000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447675</xdr:colOff>
      <xdr:row>6</xdr:row>
      <xdr:rowOff>110325</xdr:rowOff>
    </xdr:from>
    <xdr:to>
      <xdr:col>12</xdr:col>
      <xdr:colOff>280950</xdr:colOff>
      <xdr:row>25</xdr:row>
      <xdr:rowOff>90525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100800</xdr:rowOff>
    </xdr:from>
    <xdr:to>
      <xdr:col>6</xdr:col>
      <xdr:colOff>221760</xdr:colOff>
      <xdr:row>47</xdr:row>
      <xdr:rowOff>81000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485775</xdr:colOff>
      <xdr:row>28</xdr:row>
      <xdr:rowOff>91275</xdr:rowOff>
    </xdr:from>
    <xdr:to>
      <xdr:col>12</xdr:col>
      <xdr:colOff>319050</xdr:colOff>
      <xdr:row>47</xdr:row>
      <xdr:rowOff>71475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50</xdr:row>
      <xdr:rowOff>101160</xdr:rowOff>
    </xdr:from>
    <xdr:to>
      <xdr:col>6</xdr:col>
      <xdr:colOff>221760</xdr:colOff>
      <xdr:row>67</xdr:row>
      <xdr:rowOff>102240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"/>
  <sheetViews>
    <sheetView showGridLines="0" tabSelected="1" topLeftCell="A8" zoomScale="115" zoomScaleNormal="115" workbookViewId="0">
      <selection activeCell="A85" sqref="A85:H87"/>
    </sheetView>
  </sheetViews>
  <sheetFormatPr defaultColWidth="8.7109375" defaultRowHeight="15"/>
  <cols>
    <col min="1" max="14" width="13" customWidth="1"/>
  </cols>
  <sheetData>
    <row r="1" spans="1:12" ht="31.5" customHeight="1">
      <c r="A1" s="68" t="s">
        <v>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2" spans="1:12">
      <c r="A2" s="69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4" spans="1:14" ht="18" customHeight="1">
      <c r="A4" s="70" t="s">
        <v>2</v>
      </c>
      <c r="B4" s="70"/>
      <c r="C4" s="71" t="s">
        <v>3</v>
      </c>
      <c r="D4" s="71"/>
      <c r="E4" s="72" t="s">
        <v>4</v>
      </c>
      <c r="F4" s="72"/>
      <c r="G4" s="73" t="s">
        <v>5</v>
      </c>
      <c r="H4" s="73"/>
      <c r="I4" s="74" t="s">
        <v>6</v>
      </c>
      <c r="J4" s="74"/>
      <c r="K4" s="75" t="s">
        <v>7</v>
      </c>
      <c r="L4" s="75"/>
      <c r="M4" s="73" t="s">
        <v>154</v>
      </c>
      <c r="N4" s="73"/>
    </row>
    <row r="5" spans="1:14" ht="21.75" customHeight="1">
      <c r="A5" s="76">
        <f>IF(팀별분석!D18=0,"",팀별분석!B69/팀별분석!D18)</f>
        <v>0.81699346405228745</v>
      </c>
      <c r="B5" s="76"/>
      <c r="C5" s="77">
        <f>팀별분석!D18-팀별분석!B69</f>
        <v>28.000000000000014</v>
      </c>
      <c r="D5" s="77"/>
      <c r="E5" s="78">
        <f>팀별분석!D69</f>
        <v>1640000000</v>
      </c>
      <c r="F5" s="78"/>
      <c r="G5" s="78">
        <f>팀별분석!E69</f>
        <v>448000000</v>
      </c>
      <c r="H5" s="78"/>
      <c r="I5" s="76">
        <f>팀별분석!J69</f>
        <v>0.93181818181818177</v>
      </c>
      <c r="J5" s="76"/>
      <c r="K5" s="76">
        <f ca="1">팀별분석!$B$6</f>
        <v>0.66666666666666663</v>
      </c>
      <c r="L5" s="76"/>
      <c r="M5" s="76">
        <f>팀별분석!O69</f>
      </c>
      <c r="N5" s="76"/>
    </row>
    <row r="6" spans="1:14">
      <c r="A6" s="76"/>
      <c r="B6" s="76"/>
      <c r="C6" s="77"/>
      <c r="D6" s="77"/>
      <c r="E6" s="78"/>
      <c r="F6" s="78"/>
      <c r="G6" s="78"/>
      <c r="H6" s="78"/>
      <c r="I6" s="76"/>
      <c r="J6" s="76"/>
      <c r="K6" s="76"/>
      <c r="L6" s="76"/>
      <c r="M6" s="76"/>
      <c r="N6" s="76"/>
    </row>
    <row r="8" spans="1:12">
      <c r="A8" s="2" t="s">
        <v>8</v>
      </c>
    </row>
    <row r="9" spans="1:12" ht="21.75" customHeight="1">
      <c r="A9" s="67" t="str">
        <f>IF(팀별분석!A10="","(빈 슬롯)",팀별분석!A10)</f>
        <v>사업운영팀 기획1파트</v>
      </c>
      <c r="B9" s="67"/>
      <c r="C9" s="67"/>
      <c r="D9" s="67"/>
      <c r="E9" s="67"/>
      <c r="G9" s="67" t="str">
        <f>IF(팀별분석!A11="","(빈 슬롯)",팀별분석!A11)</f>
        <v>사업운영팀 기획2파트</v>
      </c>
      <c r="H9" s="67"/>
      <c r="I9" s="67"/>
      <c r="J9" s="67"/>
      <c r="K9" s="67"/>
    </row>
    <row r="10" spans="1:12" ht="18.75" customHeight="1">
      <c r="A10" s="59" t="s">
        <v>9</v>
      </c>
      <c r="B10" s="59"/>
      <c r="C10" s="60">
        <f>IF(팀별분석!A10="","",팀별분석!B74)</f>
        <v>1.0372549019607842</v>
      </c>
      <c r="D10" s="60"/>
      <c r="E10" s="60"/>
      <c r="G10" s="59" t="s">
        <v>9</v>
      </c>
      <c r="H10" s="59"/>
      <c r="I10" s="60">
        <f>IF(팀별분석!A11="","",팀별분석!B75)</f>
        <v>0.64950980392156865</v>
      </c>
      <c r="J10" s="60"/>
      <c r="K10" s="60"/>
    </row>
    <row r="11" spans="1:12" ht="18.75" customHeight="1">
      <c r="A11" s="61" t="s">
        <v>10</v>
      </c>
      <c r="B11" s="61"/>
      <c r="C11" s="65">
        <f>IF(팀별분석!A10="","",팀별분석!N49)</f>
        <v>-1.8999999999999928</v>
      </c>
      <c r="D11" s="65"/>
      <c r="E11" s="65"/>
      <c r="G11" s="61" t="s">
        <v>10</v>
      </c>
      <c r="H11" s="61"/>
      <c r="I11" s="65">
        <f>IF(팀별분석!A11="","",팀별분석!N50)</f>
        <v>14.3</v>
      </c>
      <c r="J11" s="65"/>
      <c r="K11" s="65"/>
    </row>
    <row r="12" spans="1:12" ht="18.75" customHeight="1">
      <c r="A12" s="59" t="s">
        <v>6</v>
      </c>
      <c r="B12" s="59"/>
      <c r="C12" s="60">
        <f>IF(OR(팀별분석!A10="",팀별분석!I61=0),"",팀별분석!J61)</f>
        <v>0.99</v>
      </c>
      <c r="D12" s="60"/>
      <c r="E12" s="60"/>
      <c r="G12" s="59" t="s">
        <v>6</v>
      </c>
      <c r="H12" s="59"/>
      <c r="I12" s="60">
        <f>IF(OR(팀별분석!A11="",팀별분석!I62=0),"",팀별분석!J62)</f>
        <v>0.86</v>
      </c>
      <c r="J12" s="60"/>
      <c r="K12" s="60"/>
    </row>
    <row r="13" spans="1:12" ht="18.75" customHeight="1">
      <c r="A13" s="61" t="s">
        <v>11</v>
      </c>
      <c r="B13" s="61"/>
      <c r="C13" s="62">
        <f ca="1">IF(OR(팀별분석!A10="",팀별분석!I61=0),"",팀별분석!L61)</f>
        <v>0.32333333333333336</v>
      </c>
      <c r="D13" s="62"/>
      <c r="E13" s="62"/>
      <c r="G13" s="61" t="s">
        <v>11</v>
      </c>
      <c r="H13" s="61"/>
      <c r="I13" s="62">
        <f ca="1">IF(OR(팀별분석!A11="",팀별분석!I62=0),"",팀별분석!L62)</f>
        <v>0.19333333333333336</v>
      </c>
      <c r="J13" s="62"/>
      <c r="K13" s="62"/>
    </row>
    <row r="14" spans="1:12" ht="19.5" customHeight="1">
      <c r="A14" s="66" t="str">
        <f>IF(팀별분석!A10="","",팀별분석!I74)</f>
        <v>과부하</v>
      </c>
      <c r="B14" s="66"/>
      <c r="C14" s="66"/>
      <c r="D14" s="66" t="str">
        <f ca="1">IF(팀별분석!A10="","",팀별분석!J74)</f>
        <v>진도 앞섬</v>
      </c>
      <c r="E14" s="66"/>
      <c r="G14" s="66" t="str">
        <f>IF(팀별분석!A11="","",팀별분석!I75)</f>
        <v>여력 있음</v>
      </c>
      <c r="H14" s="66"/>
      <c r="I14" s="66"/>
      <c r="J14" s="66" t="str">
        <f ca="1">IF(팀별분석!A11="","",팀별분석!J75)</f>
        <v>진도 앞섬</v>
      </c>
      <c r="K14" s="66"/>
    </row>
    <row r="16" spans="1:12" ht="21.75" customHeight="1">
      <c r="A16" s="67" t="str">
        <f>IF(팀별분석!A12="","(빈 슬롯)",팀별분석!A12)</f>
        <v>신사업팀</v>
      </c>
      <c r="B16" s="67"/>
      <c r="C16" s="67"/>
      <c r="D16" s="67"/>
      <c r="E16" s="67"/>
      <c r="G16" s="67" t="str">
        <f>IF(팀별분석!A13="","(빈 슬롯)",팀별분석!A13)</f>
        <v>경영본부 사업기획실</v>
      </c>
      <c r="H16" s="67"/>
      <c r="I16" s="67"/>
      <c r="J16" s="67"/>
      <c r="K16" s="67"/>
    </row>
    <row r="17" spans="1:11" ht="18.75" customHeight="1">
      <c r="A17" s="59" t="s">
        <v>9</v>
      </c>
      <c r="B17" s="59"/>
      <c r="C17" s="60">
        <f>IF(팀별분석!A12="","",팀별분석!B76)</f>
        <v>0.58823529411764708</v>
      </c>
      <c r="D17" s="60"/>
      <c r="E17" s="60"/>
      <c r="G17" s="59" t="s">
        <v>9</v>
      </c>
      <c r="H17" s="59"/>
      <c r="I17" s="60">
        <f>IF(팀별분석!A13="","",팀별분석!B77)</f>
        <v>0.90196078431372551</v>
      </c>
      <c r="J17" s="60"/>
      <c r="K17" s="60"/>
    </row>
    <row r="18" spans="1:11" ht="18.75" customHeight="1">
      <c r="A18" s="61" t="s">
        <v>10</v>
      </c>
      <c r="B18" s="61"/>
      <c r="C18" s="65">
        <f>IF(팀별분석!A12="","",팀별분석!N51)</f>
        <v>12.599999999999994</v>
      </c>
      <c r="D18" s="65"/>
      <c r="E18" s="65"/>
      <c r="G18" s="61" t="s">
        <v>10</v>
      </c>
      <c r="H18" s="61"/>
      <c r="I18" s="65">
        <f>IF(팀별분석!A13="","",팀별분석!N52)</f>
        <v>2.9999999999999973</v>
      </c>
      <c r="J18" s="65"/>
      <c r="K18" s="65"/>
    </row>
    <row r="19" spans="1:11" ht="18.75" customHeight="1">
      <c r="A19" s="59" t="s">
        <v>6</v>
      </c>
      <c r="B19" s="59"/>
      <c r="C19" s="60">
        <f>IF(OR(팀별분석!A12="",팀별분석!I63=0),"",팀별분석!J63)</f>
        <v>0.51243243243243231</v>
      </c>
      <c r="D19" s="60"/>
      <c r="E19" s="60"/>
      <c r="G19" s="59" t="s">
        <v>6</v>
      </c>
      <c r="H19" s="59"/>
      <c r="I19" s="60">
        <f>IF(OR(팀별분석!A13="",팀별분석!I64=0),"",팀별분석!J64)</f>
        <v>9.1891891891891895</v>
      </c>
      <c r="J19" s="60"/>
      <c r="K19" s="60"/>
    </row>
    <row r="20" spans="1:11" ht="18.75" customHeight="1">
      <c r="A20" s="61" t="s">
        <v>11</v>
      </c>
      <c r="B20" s="61"/>
      <c r="C20" s="62">
        <f ca="1">IF(OR(팀별분석!A12="",팀별분석!I63=0),"",팀별분석!L63)</f>
        <v>-0.15423423423423432</v>
      </c>
      <c r="D20" s="62"/>
      <c r="E20" s="62"/>
      <c r="G20" s="61" t="s">
        <v>11</v>
      </c>
      <c r="H20" s="61"/>
      <c r="I20" s="62">
        <f ca="1">IF(OR(팀별분석!A13="",팀별분석!I64=0),"",팀별분석!L64)</f>
        <v>8.5225225225225234</v>
      </c>
      <c r="J20" s="62"/>
      <c r="K20" s="62"/>
    </row>
    <row r="21" spans="1:11" ht="19.5" customHeight="1">
      <c r="A21" s="66" t="str">
        <f>IF(팀별분석!A12="","",팀별분석!I76)</f>
        <v>여력 있음</v>
      </c>
      <c r="B21" s="66"/>
      <c r="C21" s="66"/>
      <c r="D21" s="66" t="str">
        <f ca="1">IF(팀별분석!A12="","",팀별분석!J76)</f>
        <v>진도 지연</v>
      </c>
      <c r="E21" s="66"/>
      <c r="G21" s="66" t="str">
        <f>IF(팀별분석!A13="","",팀별분석!I77)</f>
        <v>여유 없음</v>
      </c>
      <c r="H21" s="66"/>
      <c r="I21" s="66"/>
      <c r="J21" s="66" t="str">
        <f ca="1">IF(팀별분석!A13="","",팀별분석!J77)</f>
        <v>진도 앞섬</v>
      </c>
      <c r="K21" s="66"/>
    </row>
    <row r="23" spans="1:11" ht="21.75" customHeight="1">
      <c r="A23" s="64" t="str">
        <f>IF(팀별분석!A14="","(빈 슬롯)",팀별분석!A14)</f>
        <v>(빈 슬롯)</v>
      </c>
      <c r="B23" s="64"/>
      <c r="C23" s="64"/>
      <c r="D23" s="64"/>
      <c r="E23" s="64"/>
      <c r="G23" s="64" t="str">
        <f>IF(팀별분석!A15="","(빈 슬롯)",팀별분석!A15)</f>
        <v>(빈 슬롯)</v>
      </c>
      <c r="H23" s="64"/>
      <c r="I23" s="64"/>
      <c r="J23" s="64"/>
      <c r="K23" s="64"/>
    </row>
    <row r="24" spans="1:11" ht="18.75" customHeight="1">
      <c r="A24" s="59" t="s">
        <v>9</v>
      </c>
      <c r="B24" s="59"/>
      <c r="C24" s="60" t="str">
        <f>IF(팀별분석!A14="","",팀별분석!B78)</f>
        <v/>
      </c>
      <c r="D24" s="60"/>
      <c r="E24" s="60"/>
      <c r="G24" s="59" t="s">
        <v>9</v>
      </c>
      <c r="H24" s="59"/>
      <c r="I24" s="60" t="str">
        <f>IF(팀별분석!A15="","",팀별분석!B79)</f>
        <v/>
      </c>
      <c r="J24" s="60"/>
      <c r="K24" s="60"/>
    </row>
    <row r="25" spans="1:11" ht="18.75" customHeight="1">
      <c r="A25" s="61" t="s">
        <v>10</v>
      </c>
      <c r="B25" s="61"/>
      <c r="C25" s="65" t="str">
        <f>IF(팀별분석!A14="","",팀별분석!N53)</f>
        <v/>
      </c>
      <c r="D25" s="65"/>
      <c r="E25" s="65"/>
      <c r="G25" s="61" t="s">
        <v>10</v>
      </c>
      <c r="H25" s="61"/>
      <c r="I25" s="65" t="str">
        <f>IF(팀별분석!A15="","",팀별분석!N54)</f>
        <v/>
      </c>
      <c r="J25" s="65"/>
      <c r="K25" s="65"/>
    </row>
    <row r="26" spans="1:11" ht="18.75" customHeight="1">
      <c r="A26" s="59" t="s">
        <v>6</v>
      </c>
      <c r="B26" s="59"/>
      <c r="C26" s="60" t="str">
        <f>IF(OR(팀별분석!A14="",팀별분석!I65=0),"",팀별분석!J65)</f>
        <v/>
      </c>
      <c r="D26" s="60"/>
      <c r="E26" s="60"/>
      <c r="G26" s="59" t="s">
        <v>6</v>
      </c>
      <c r="H26" s="59"/>
      <c r="I26" s="60" t="str">
        <f>IF(OR(팀별분석!A15="",팀별분석!I66=0),"",팀별분석!J66)</f>
        <v/>
      </c>
      <c r="J26" s="60"/>
      <c r="K26" s="60"/>
    </row>
    <row r="27" spans="1:11" ht="18.75" customHeight="1">
      <c r="A27" s="61" t="s">
        <v>11</v>
      </c>
      <c r="B27" s="61"/>
      <c r="C27" s="62" t="str">
        <f>IF(OR(팀별분석!A14="",팀별분석!I65=0),"",팀별분석!L65)</f>
        <v/>
      </c>
      <c r="D27" s="62"/>
      <c r="E27" s="62"/>
      <c r="G27" s="61" t="s">
        <v>11</v>
      </c>
      <c r="H27" s="61"/>
      <c r="I27" s="62" t="str">
        <f>IF(OR(팀별분석!A15="",팀별분석!I66=0),"",팀별분석!L66)</f>
        <v/>
      </c>
      <c r="J27" s="62"/>
      <c r="K27" s="62"/>
    </row>
    <row r="28" spans="1:11" ht="19.5" customHeight="1">
      <c r="A28" s="63" t="str">
        <f>IF(팀별분석!A14="","",팀별분석!I78)</f>
        <v/>
      </c>
      <c r="B28" s="63"/>
      <c r="C28" s="63"/>
      <c r="D28" s="63" t="str">
        <f>IF(팀별분석!A14="","",팀별분석!J78)</f>
        <v/>
      </c>
      <c r="E28" s="63"/>
      <c r="G28" s="63" t="str">
        <f>IF(팀별분석!A15="","",팀별분석!I79)</f>
        <v/>
      </c>
      <c r="H28" s="63"/>
      <c r="I28" s="63"/>
      <c r="J28" s="63" t="str">
        <f>IF(팀별분석!A15="","",팀별분석!J79)</f>
        <v/>
      </c>
      <c r="K28" s="63"/>
    </row>
    <row r="30" spans="1:11" ht="21.75" customHeight="1">
      <c r="A30" s="64" t="str">
        <f>IF(팀별분석!A16="","(빈 슬롯)",팀별분석!A16)</f>
        <v>(빈 슬롯)</v>
      </c>
      <c r="B30" s="64"/>
      <c r="C30" s="64"/>
      <c r="D30" s="64"/>
      <c r="E30" s="64"/>
      <c r="G30" s="64" t="str">
        <f>IF(팀별분석!A17="","(빈 슬롯)",팀별분석!A17)</f>
        <v>(빈 슬롯)</v>
      </c>
      <c r="H30" s="64"/>
      <c r="I30" s="64"/>
      <c r="J30" s="64"/>
      <c r="K30" s="64"/>
    </row>
    <row r="31" spans="1:11" ht="18.75" customHeight="1">
      <c r="A31" s="59" t="s">
        <v>9</v>
      </c>
      <c r="B31" s="59"/>
      <c r="C31" s="60" t="str">
        <f>IF(팀별분석!A16="","",팀별분석!B80)</f>
        <v/>
      </c>
      <c r="D31" s="60"/>
      <c r="E31" s="60"/>
      <c r="G31" s="59" t="s">
        <v>9</v>
      </c>
      <c r="H31" s="59"/>
      <c r="I31" s="60" t="str">
        <f>IF(팀별분석!A17="","",팀별분석!B81)</f>
        <v/>
      </c>
      <c r="J31" s="60"/>
      <c r="K31" s="60"/>
    </row>
    <row r="32" spans="1:11" ht="18.75" customHeight="1">
      <c r="A32" s="61" t="s">
        <v>10</v>
      </c>
      <c r="B32" s="61"/>
      <c r="C32" s="65" t="str">
        <f>IF(팀별분석!A16="","",팀별분석!N55)</f>
        <v/>
      </c>
      <c r="D32" s="65"/>
      <c r="E32" s="65"/>
      <c r="G32" s="61" t="s">
        <v>10</v>
      </c>
      <c r="H32" s="61"/>
      <c r="I32" s="65" t="str">
        <f>IF(팀별분석!A17="","",팀별분석!N56)</f>
        <v/>
      </c>
      <c r="J32" s="65"/>
      <c r="K32" s="65"/>
    </row>
    <row r="33" spans="1:11" ht="18.75" customHeight="1">
      <c r="A33" s="59" t="s">
        <v>6</v>
      </c>
      <c r="B33" s="59"/>
      <c r="C33" s="60" t="str">
        <f>IF(OR(팀별분석!A16="",팀별분석!I67=0),"",팀별분석!J67)</f>
        <v/>
      </c>
      <c r="D33" s="60"/>
      <c r="E33" s="60"/>
      <c r="G33" s="59" t="s">
        <v>6</v>
      </c>
      <c r="H33" s="59"/>
      <c r="I33" s="60" t="str">
        <f>IF(OR(팀별분석!A17="",팀별분석!I68=0),"",팀별분석!J68)</f>
        <v/>
      </c>
      <c r="J33" s="60"/>
      <c r="K33" s="60"/>
    </row>
    <row r="34" spans="1:11" ht="18.75" customHeight="1">
      <c r="A34" s="61" t="s">
        <v>11</v>
      </c>
      <c r="B34" s="61"/>
      <c r="C34" s="62" t="str">
        <f>IF(OR(팀별분석!A16="",팀별분석!I67=0),"",팀별분석!L67)</f>
        <v/>
      </c>
      <c r="D34" s="62"/>
      <c r="E34" s="62"/>
      <c r="G34" s="61" t="s">
        <v>11</v>
      </c>
      <c r="H34" s="61"/>
      <c r="I34" s="62" t="str">
        <f>IF(OR(팀별분석!A17="",팀별분석!I68=0),"",팀별분석!L68)</f>
        <v/>
      </c>
      <c r="J34" s="62"/>
      <c r="K34" s="62"/>
    </row>
    <row r="35" spans="1:11" ht="19.5" customHeight="1">
      <c r="A35" s="63" t="str">
        <f>IF(팀별분석!A16="","",팀별분석!I80)</f>
        <v/>
      </c>
      <c r="B35" s="63"/>
      <c r="C35" s="63"/>
      <c r="D35" s="63" t="str">
        <f>IF(팀별분석!A16="","",팀별분석!J80)</f>
        <v/>
      </c>
      <c r="E35" s="63"/>
      <c r="G35" s="63" t="str">
        <f>IF(팀별분석!A17="","",팀별분석!I81)</f>
        <v/>
      </c>
      <c r="H35" s="63"/>
      <c r="I35" s="63"/>
      <c r="J35" s="63" t="str">
        <f>IF(팀별분석!A17="","",팀별분석!J81)</f>
        <v/>
      </c>
      <c r="K35" s="63"/>
    </row>
    <row r="38" spans="1:11">
      <c r="A38" s="2" t="s">
        <v>12</v>
      </c>
    </row>
    <row r="85" spans="1:1">
      <c r="A85" s="3" t="s">
        <v>13</v>
      </c>
    </row>
    <row r="86" spans="1:1">
      <c r="A86" s="1" t="s">
        <v>14</v>
      </c>
    </row>
    <row r="87" spans="1:1">
      <c r="A87" s="1" t="s">
        <v>15</v>
      </c>
    </row>
  </sheetData>
  <mergeCells count="104">
    <mergeCell ref="A1:L1"/>
    <mergeCell ref="A2:L2"/>
    <mergeCell ref="A4:B4"/>
    <mergeCell ref="C4:D4"/>
    <mergeCell ref="E4:F4"/>
    <mergeCell ref="G4:H4"/>
    <mergeCell ref="I4:J4"/>
    <mergeCell ref="K4:L4"/>
    <mergeCell ref="A5:B6"/>
    <mergeCell ref="C5:D6"/>
    <mergeCell ref="E5:F6"/>
    <mergeCell ref="G5:H6"/>
    <mergeCell ref="I5:J6"/>
    <mergeCell ref="K5:L6"/>
    <mergeCell ref="M4:N4"/>
    <mergeCell ref="M5:N6"/>
    <mergeCell ref="A9:E9"/>
    <mergeCell ref="G9:K9"/>
    <mergeCell ref="A10:B10"/>
    <mergeCell ref="C10:E10"/>
    <mergeCell ref="G10:H10"/>
    <mergeCell ref="I10:K10"/>
    <mergeCell ref="A11:B11"/>
    <mergeCell ref="C11:E11"/>
    <mergeCell ref="G11:H11"/>
    <mergeCell ref="I11:K11"/>
    <mergeCell ref="A12:B12"/>
    <mergeCell ref="C12:E12"/>
    <mergeCell ref="G12:H12"/>
    <mergeCell ref="I12:K12"/>
    <mergeCell ref="A13:B13"/>
    <mergeCell ref="C13:E13"/>
    <mergeCell ref="G13:H13"/>
    <mergeCell ref="I13:K13"/>
    <mergeCell ref="A14:C14"/>
    <mergeCell ref="D14:E14"/>
    <mergeCell ref="G14:I14"/>
    <mergeCell ref="J14:K14"/>
    <mergeCell ref="A16:E16"/>
    <mergeCell ref="G16:K16"/>
    <mergeCell ref="A17:B17"/>
    <mergeCell ref="C17:E17"/>
    <mergeCell ref="G17:H17"/>
    <mergeCell ref="I17:K17"/>
    <mergeCell ref="A18:B18"/>
    <mergeCell ref="C18:E18"/>
    <mergeCell ref="G18:H18"/>
    <mergeCell ref="I18:K18"/>
    <mergeCell ref="A19:B19"/>
    <mergeCell ref="C19:E19"/>
    <mergeCell ref="G19:H19"/>
    <mergeCell ref="I19:K19"/>
    <mergeCell ref="A20:B20"/>
    <mergeCell ref="C20:E20"/>
    <mergeCell ref="G20:H20"/>
    <mergeCell ref="I20:K20"/>
    <mergeCell ref="A21:C21"/>
    <mergeCell ref="D21:E21"/>
    <mergeCell ref="G21:I21"/>
    <mergeCell ref="J21:K21"/>
    <mergeCell ref="A23:E23"/>
    <mergeCell ref="G23:K23"/>
    <mergeCell ref="A24:B24"/>
    <mergeCell ref="C24:E24"/>
    <mergeCell ref="G24:H24"/>
    <mergeCell ref="I24:K24"/>
    <mergeCell ref="A25:B25"/>
    <mergeCell ref="C25:E25"/>
    <mergeCell ref="G25:H25"/>
    <mergeCell ref="I25:K25"/>
    <mergeCell ref="A26:B26"/>
    <mergeCell ref="C26:E26"/>
    <mergeCell ref="G26:H26"/>
    <mergeCell ref="I26:K26"/>
    <mergeCell ref="A27:B27"/>
    <mergeCell ref="C27:E27"/>
    <mergeCell ref="G27:H27"/>
    <mergeCell ref="I27:K27"/>
    <mergeCell ref="A28:C28"/>
    <mergeCell ref="D28:E28"/>
    <mergeCell ref="G28:I28"/>
    <mergeCell ref="J28:K28"/>
    <mergeCell ref="A30:E30"/>
    <mergeCell ref="G30:K30"/>
    <mergeCell ref="A31:B31"/>
    <mergeCell ref="C31:E31"/>
    <mergeCell ref="G31:H31"/>
    <mergeCell ref="I31:K31"/>
    <mergeCell ref="A32:B32"/>
    <mergeCell ref="C32:E32"/>
    <mergeCell ref="G32:H32"/>
    <mergeCell ref="I32:K32"/>
    <mergeCell ref="A33:B33"/>
    <mergeCell ref="C33:E33"/>
    <mergeCell ref="G33:H33"/>
    <mergeCell ref="I33:K33"/>
    <mergeCell ref="A34:B34"/>
    <mergeCell ref="C34:E34"/>
    <mergeCell ref="G34:H34"/>
    <mergeCell ref="I34:K34"/>
    <mergeCell ref="A35:C35"/>
    <mergeCell ref="D35:E35"/>
    <mergeCell ref="G35:I35"/>
    <mergeCell ref="J35:K35"/>
  </mergeCells>
  <phoneticPr fontId="32" type="noConversion"/>
  <conditionalFormatting sqref="A9">
    <cfRule type="cellIs" dxfId="102" priority="11" operator="equal">
      <formula>"(빈 슬롯)"</formula>
    </cfRule>
  </conditionalFormatting>
  <conditionalFormatting sqref="A14">
    <cfRule type="cellIs" dxfId="101" priority="2" operator="equal">
      <formula>"심각 과부하"</formula>
    </cfRule>
    <cfRule type="cellIs" dxfId="100" priority="3" operator="equal">
      <formula>"과부하"</formula>
    </cfRule>
    <cfRule type="cellIs" dxfId="99" priority="4" operator="equal">
      <formula>"여유 없음"</formula>
    </cfRule>
    <cfRule type="cellIs" dxfId="98" priority="5" operator="equal">
      <formula>"적정"</formula>
    </cfRule>
    <cfRule type="cellIs" dxfId="97" priority="6" operator="equal">
      <formula>"여력 있음"</formula>
    </cfRule>
  </conditionalFormatting>
  <conditionalFormatting sqref="A16">
    <cfRule type="cellIs" dxfId="96" priority="31" operator="equal">
      <formula>"(빈 슬롯)"</formula>
    </cfRule>
  </conditionalFormatting>
  <conditionalFormatting sqref="A21">
    <cfRule type="cellIs" dxfId="95" priority="22" operator="equal">
      <formula>"심각 과부하"</formula>
    </cfRule>
    <cfRule type="cellIs" dxfId="94" priority="23" operator="equal">
      <formula>"과부하"</formula>
    </cfRule>
    <cfRule type="cellIs" dxfId="93" priority="24" operator="equal">
      <formula>"여유 없음"</formula>
    </cfRule>
    <cfRule type="cellIs" dxfId="92" priority="25" operator="equal">
      <formula>"적정"</formula>
    </cfRule>
    <cfRule type="cellIs" dxfId="91" priority="26" operator="equal">
      <formula>"여력 있음"</formula>
    </cfRule>
  </conditionalFormatting>
  <conditionalFormatting sqref="A23">
    <cfRule type="cellIs" dxfId="90" priority="51" operator="equal">
      <formula>"(빈 슬롯)"</formula>
    </cfRule>
  </conditionalFormatting>
  <conditionalFormatting sqref="A28">
    <cfRule type="cellIs" dxfId="89" priority="42" operator="equal">
      <formula>"심각 과부하"</formula>
    </cfRule>
    <cfRule type="cellIs" dxfId="88" priority="43" operator="equal">
      <formula>"과부하"</formula>
    </cfRule>
    <cfRule type="cellIs" dxfId="87" priority="44" operator="equal">
      <formula>"여유 없음"</formula>
    </cfRule>
    <cfRule type="cellIs" dxfId="86" priority="45" operator="equal">
      <formula>"적정"</formula>
    </cfRule>
    <cfRule type="cellIs" dxfId="85" priority="46" operator="equal">
      <formula>"여력 있음"</formula>
    </cfRule>
  </conditionalFormatting>
  <conditionalFormatting sqref="A30">
    <cfRule type="cellIs" dxfId="84" priority="71" operator="equal">
      <formula>"(빈 슬롯)"</formula>
    </cfRule>
  </conditionalFormatting>
  <conditionalFormatting sqref="A35">
    <cfRule type="cellIs" dxfId="83" priority="62" operator="equal">
      <formula>"심각 과부하"</formula>
    </cfRule>
    <cfRule type="cellIs" dxfId="82" priority="63" operator="equal">
      <formula>"과부하"</formula>
    </cfRule>
    <cfRule type="cellIs" dxfId="81" priority="64" operator="equal">
      <formula>"여유 없음"</formula>
    </cfRule>
    <cfRule type="cellIs" dxfId="80" priority="65" operator="equal">
      <formula>"적정"</formula>
    </cfRule>
    <cfRule type="cellIs" dxfId="79" priority="66" operator="equal">
      <formula>"여력 있음"</formula>
    </cfRule>
  </conditionalFormatting>
  <conditionalFormatting sqref="D14">
    <cfRule type="cellIs" dxfId="78" priority="7" operator="equal">
      <formula>"진도 지연"</formula>
    </cfRule>
    <cfRule type="cellIs" dxfId="77" priority="8" operator="equal">
      <formula>"정상 진도"</formula>
    </cfRule>
    <cfRule type="cellIs" dxfId="76" priority="9" operator="equal">
      <formula>"진도 앞섬"</formula>
    </cfRule>
    <cfRule type="cellIs" dxfId="75" priority="10" operator="equal">
      <formula>"목표 없음"</formula>
    </cfRule>
  </conditionalFormatting>
  <conditionalFormatting sqref="D21">
    <cfRule type="cellIs" dxfId="74" priority="27" operator="equal">
      <formula>"진도 지연"</formula>
    </cfRule>
    <cfRule type="cellIs" dxfId="73" priority="28" operator="equal">
      <formula>"정상 진도"</formula>
    </cfRule>
    <cfRule type="cellIs" dxfId="72" priority="29" operator="equal">
      <formula>"진도 앞섬"</formula>
    </cfRule>
    <cfRule type="cellIs" dxfId="71" priority="30" operator="equal">
      <formula>"목표 없음"</formula>
    </cfRule>
  </conditionalFormatting>
  <conditionalFormatting sqref="D28">
    <cfRule type="cellIs" dxfId="70" priority="47" operator="equal">
      <formula>"진도 지연"</formula>
    </cfRule>
    <cfRule type="cellIs" dxfId="69" priority="48" operator="equal">
      <formula>"정상 진도"</formula>
    </cfRule>
    <cfRule type="cellIs" dxfId="68" priority="49" operator="equal">
      <formula>"진도 앞섬"</formula>
    </cfRule>
    <cfRule type="cellIs" dxfId="67" priority="50" operator="equal">
      <formula>"목표 없음"</formula>
    </cfRule>
  </conditionalFormatting>
  <conditionalFormatting sqref="D35">
    <cfRule type="cellIs" dxfId="66" priority="67" operator="equal">
      <formula>"진도 지연"</formula>
    </cfRule>
    <cfRule type="cellIs" dxfId="65" priority="68" operator="equal">
      <formula>"정상 진도"</formula>
    </cfRule>
    <cfRule type="cellIs" dxfId="64" priority="69" operator="equal">
      <formula>"진도 앞섬"</formula>
    </cfRule>
    <cfRule type="cellIs" dxfId="63" priority="70" operator="equal">
      <formula>"목표 없음"</formula>
    </cfRule>
  </conditionalFormatting>
  <conditionalFormatting sqref="G9">
    <cfRule type="cellIs" dxfId="62" priority="21" operator="equal">
      <formula>"(빈 슬롯)"</formula>
    </cfRule>
  </conditionalFormatting>
  <conditionalFormatting sqref="G14">
    <cfRule type="cellIs" dxfId="61" priority="12" operator="equal">
      <formula>"심각 과부하"</formula>
    </cfRule>
    <cfRule type="cellIs" dxfId="60" priority="13" operator="equal">
      <formula>"과부하"</formula>
    </cfRule>
    <cfRule type="cellIs" dxfId="59" priority="14" operator="equal">
      <formula>"여유 없음"</formula>
    </cfRule>
    <cfRule type="cellIs" dxfId="58" priority="15" operator="equal">
      <formula>"적정"</formula>
    </cfRule>
    <cfRule type="cellIs" dxfId="57" priority="16" operator="equal">
      <formula>"여력 있음"</formula>
    </cfRule>
  </conditionalFormatting>
  <conditionalFormatting sqref="G16">
    <cfRule type="cellIs" dxfId="56" priority="41" operator="equal">
      <formula>"(빈 슬롯)"</formula>
    </cfRule>
  </conditionalFormatting>
  <conditionalFormatting sqref="G21">
    <cfRule type="cellIs" dxfId="55" priority="32" operator="equal">
      <formula>"심각 과부하"</formula>
    </cfRule>
    <cfRule type="cellIs" dxfId="54" priority="33" operator="equal">
      <formula>"과부하"</formula>
    </cfRule>
    <cfRule type="cellIs" dxfId="53" priority="34" operator="equal">
      <formula>"여유 없음"</formula>
    </cfRule>
    <cfRule type="cellIs" dxfId="52" priority="35" operator="equal">
      <formula>"적정"</formula>
    </cfRule>
    <cfRule type="cellIs" dxfId="51" priority="36" operator="equal">
      <formula>"여력 있음"</formula>
    </cfRule>
  </conditionalFormatting>
  <conditionalFormatting sqref="G23">
    <cfRule type="cellIs" dxfId="50" priority="61" operator="equal">
      <formula>"(빈 슬롯)"</formula>
    </cfRule>
  </conditionalFormatting>
  <conditionalFormatting sqref="G28">
    <cfRule type="cellIs" dxfId="49" priority="52" operator="equal">
      <formula>"심각 과부하"</formula>
    </cfRule>
    <cfRule type="cellIs" dxfId="48" priority="53" operator="equal">
      <formula>"과부하"</formula>
    </cfRule>
    <cfRule type="cellIs" dxfId="47" priority="54" operator="equal">
      <formula>"여유 없음"</formula>
    </cfRule>
    <cfRule type="cellIs" dxfId="46" priority="55" operator="equal">
      <formula>"적정"</formula>
    </cfRule>
    <cfRule type="cellIs" dxfId="45" priority="56" operator="equal">
      <formula>"여력 있음"</formula>
    </cfRule>
  </conditionalFormatting>
  <conditionalFormatting sqref="G30">
    <cfRule type="cellIs" dxfId="44" priority="81" operator="equal">
      <formula>"(빈 슬롯)"</formula>
    </cfRule>
  </conditionalFormatting>
  <conditionalFormatting sqref="G35">
    <cfRule type="cellIs" dxfId="43" priority="72" operator="equal">
      <formula>"심각 과부하"</formula>
    </cfRule>
    <cfRule type="cellIs" dxfId="42" priority="73" operator="equal">
      <formula>"과부하"</formula>
    </cfRule>
    <cfRule type="cellIs" dxfId="41" priority="74" operator="equal">
      <formula>"여유 없음"</formula>
    </cfRule>
    <cfRule type="cellIs" dxfId="40" priority="75" operator="equal">
      <formula>"적정"</formula>
    </cfRule>
    <cfRule type="cellIs" dxfId="39" priority="76" operator="equal">
      <formula>"여력 있음"</formula>
    </cfRule>
  </conditionalFormatting>
  <conditionalFormatting sqref="J14">
    <cfRule type="cellIs" dxfId="38" priority="17" operator="equal">
      <formula>"진도 지연"</formula>
    </cfRule>
    <cfRule type="cellIs" dxfId="37" priority="18" operator="equal">
      <formula>"정상 진도"</formula>
    </cfRule>
    <cfRule type="cellIs" dxfId="36" priority="19" operator="equal">
      <formula>"진도 앞섬"</formula>
    </cfRule>
    <cfRule type="cellIs" dxfId="35" priority="20" operator="equal">
      <formula>"목표 없음"</formula>
    </cfRule>
  </conditionalFormatting>
  <conditionalFormatting sqref="J21">
    <cfRule type="cellIs" dxfId="34" priority="37" operator="equal">
      <formula>"진도 지연"</formula>
    </cfRule>
    <cfRule type="cellIs" dxfId="33" priority="38" operator="equal">
      <formula>"정상 진도"</formula>
    </cfRule>
    <cfRule type="cellIs" dxfId="32" priority="39" operator="equal">
      <formula>"진도 앞섬"</formula>
    </cfRule>
    <cfRule type="cellIs" dxfId="31" priority="40" operator="equal">
      <formula>"목표 없음"</formula>
    </cfRule>
  </conditionalFormatting>
  <conditionalFormatting sqref="J28">
    <cfRule type="cellIs" dxfId="30" priority="57" operator="equal">
      <formula>"진도 지연"</formula>
    </cfRule>
    <cfRule type="cellIs" dxfId="29" priority="58" operator="equal">
      <formula>"정상 진도"</formula>
    </cfRule>
    <cfRule type="cellIs" dxfId="28" priority="59" operator="equal">
      <formula>"진도 앞섬"</formula>
    </cfRule>
    <cfRule type="cellIs" dxfId="27" priority="60" operator="equal">
      <formula>"목표 없음"</formula>
    </cfRule>
  </conditionalFormatting>
  <conditionalFormatting sqref="J35">
    <cfRule type="cellIs" dxfId="26" priority="77" operator="equal">
      <formula>"진도 지연"</formula>
    </cfRule>
    <cfRule type="cellIs" dxfId="25" priority="78" operator="equal">
      <formula>"정상 진도"</formula>
    </cfRule>
    <cfRule type="cellIs" dxfId="24" priority="79" operator="equal">
      <formula>"진도 앞섬"</formula>
    </cfRule>
    <cfRule type="cellIs" dxfId="23" priority="80" operator="equal">
      <formula>"목표 없음"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zoomScaleNormal="100" workbookViewId="0">
      <pane ySplit="5" topLeftCell="A6" activePane="bottomLeft" state="frozen"/>
      <selection pane="bottomLeft"/>
    </sheetView>
  </sheetViews>
  <sheetFormatPr defaultColWidth="8.7109375" defaultRowHeight="15"/>
  <cols>
    <col min="1" max="1" width="26" customWidth="1"/>
    <col min="2" max="2" width="10" customWidth="1"/>
    <col min="3" max="4" width="12" customWidth="1"/>
    <col min="5" max="5" width="11" customWidth="1"/>
    <col min="6" max="6" width="17" customWidth="1"/>
    <col min="7" max="7" width="16" customWidth="1"/>
    <col min="8" max="8" width="10" customWidth="1"/>
    <col min="9" max="9" width="13" customWidth="1"/>
    <col min="10" max="11" width="16" customWidth="1"/>
  </cols>
  <sheetData>
    <row r="1" spans="1:11" ht="18">
      <c r="A1" s="4" t="s">
        <v>16</v>
      </c>
    </row>
    <row r="2" spans="1:11">
      <c r="A2" s="1" t="s">
        <v>17</v>
      </c>
    </row>
    <row r="3" spans="1:11">
      <c r="A3" s="1" t="s">
        <v>18</v>
      </c>
    </row>
    <row r="5" spans="1:11" ht="33.7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27</v>
      </c>
      <c r="J5" s="6" t="s">
        <v>28</v>
      </c>
      <c r="K5" s="6" t="s">
        <v>29</v>
      </c>
    </row>
    <row r="6" spans="1:11">
      <c r="A6" s="7" t="s">
        <v>30</v>
      </c>
      <c r="B6" s="7" t="s">
        <v>31</v>
      </c>
      <c r="C6" s="8">
        <v>46023</v>
      </c>
      <c r="D6" s="8">
        <v>46174</v>
      </c>
      <c r="E6" s="9">
        <f t="shared" ref="E6:E35" si="0">IF(OR($C6="",$D6=""),"",(YEAR($D6)-YEAR($C6))*12+MONTH($D6)-MONTH($C6)+1)</f>
        <v>6</v>
      </c>
      <c r="F6" s="10">
        <v>420000000</v>
      </c>
      <c r="G6" s="10">
        <v>126000000</v>
      </c>
      <c r="H6" s="11">
        <f t="shared" ref="H6:H35" si="1">IF(OR($F6="",$F6=0),"",$G6/$F6)</f>
        <v>0.3</v>
      </c>
      <c r="I6" s="12">
        <f>IF($A6="",0,SUMIF(월간투입!$C$8:$C$127,$A6,월간투입!$Q$8:$Q$127))</f>
        <v>10.3</v>
      </c>
      <c r="J6" s="13">
        <f t="shared" ref="J6:J35" si="2">IF(OR($A6="",$I6=0,$F6=""),"",$F6/$I6)</f>
        <v>40776699.029126212</v>
      </c>
      <c r="K6" s="13">
        <f t="shared" ref="K6:K35" si="3">IF(OR($A6="",$I6=0,$G6=""),"",$G6/$I6)</f>
        <v>12233009.708737863</v>
      </c>
    </row>
    <row r="7" spans="1:11">
      <c r="A7" s="7" t="s">
        <v>32</v>
      </c>
      <c r="B7" s="7" t="s">
        <v>31</v>
      </c>
      <c r="C7" s="8">
        <v>46204</v>
      </c>
      <c r="D7" s="8">
        <v>46357</v>
      </c>
      <c r="E7" s="9">
        <f t="shared" si="0"/>
        <v>6</v>
      </c>
      <c r="F7" s="10">
        <v>260000000</v>
      </c>
      <c r="G7" s="10">
        <v>70000000</v>
      </c>
      <c r="H7" s="11">
        <f t="shared" si="1"/>
        <v>0.26923076923076922</v>
      </c>
      <c r="I7" s="12">
        <f>IF($A7="",0,SUMIF(월간투입!$C$8:$C$127,$A7,월간투입!$Q$8:$Q$127))</f>
        <v>8.4</v>
      </c>
      <c r="J7" s="13">
        <f t="shared" si="2"/>
        <v>30952380.952380951</v>
      </c>
      <c r="K7" s="13">
        <f t="shared" si="3"/>
        <v>8333333.333333333</v>
      </c>
    </row>
    <row r="8" spans="1:11">
      <c r="A8" s="7" t="s">
        <v>33</v>
      </c>
      <c r="B8" s="7" t="s">
        <v>31</v>
      </c>
      <c r="C8" s="8">
        <v>46023</v>
      </c>
      <c r="D8" s="8">
        <v>46204</v>
      </c>
      <c r="E8" s="9">
        <f t="shared" si="0"/>
        <v>7</v>
      </c>
      <c r="F8" s="10">
        <v>310000000</v>
      </c>
      <c r="G8" s="10">
        <v>96000000</v>
      </c>
      <c r="H8" s="11">
        <f t="shared" si="1"/>
        <v>0.30967741935483872</v>
      </c>
      <c r="I8" s="12">
        <f>IF($A8="",0,SUMIF(월간투입!$C$8:$C$127,$A8,월간투입!$Q$8:$Q$127))</f>
        <v>9.6</v>
      </c>
      <c r="J8" s="13">
        <f t="shared" si="2"/>
        <v>32291666.666666668</v>
      </c>
      <c r="K8" s="13">
        <f t="shared" si="3"/>
        <v>10000000</v>
      </c>
    </row>
    <row r="9" spans="1:11">
      <c r="A9" s="7" t="s">
        <v>34</v>
      </c>
      <c r="B9" s="7" t="s">
        <v>31</v>
      </c>
      <c r="C9" s="8">
        <v>46082</v>
      </c>
      <c r="D9" s="8">
        <v>46204</v>
      </c>
      <c r="E9" s="9">
        <f t="shared" si="0"/>
        <v>5</v>
      </c>
      <c r="F9" s="10">
        <v>280000000</v>
      </c>
      <c r="G9" s="10">
        <v>78000000</v>
      </c>
      <c r="H9" s="11">
        <f t="shared" si="1"/>
        <v>0.27857142857142858</v>
      </c>
      <c r="I9" s="12">
        <f>IF($A9="",0,SUMIF(월간투입!$C$8:$C$127,$A9,월간투입!$Q$8:$Q$127))</f>
        <v>10</v>
      </c>
      <c r="J9" s="13">
        <f t="shared" si="2"/>
        <v>28000000</v>
      </c>
      <c r="K9" s="13">
        <f t="shared" si="3"/>
        <v>7800000</v>
      </c>
    </row>
    <row r="10" spans="1:11">
      <c r="A10" s="7" t="s">
        <v>35</v>
      </c>
      <c r="B10" s="7" t="s">
        <v>31</v>
      </c>
      <c r="C10" s="8">
        <v>46023</v>
      </c>
      <c r="D10" s="8">
        <v>46174</v>
      </c>
      <c r="E10" s="9">
        <f t="shared" si="0"/>
        <v>6</v>
      </c>
      <c r="F10" s="10">
        <v>150000000</v>
      </c>
      <c r="G10" s="10">
        <v>38000000</v>
      </c>
      <c r="H10" s="11">
        <f t="shared" si="1"/>
        <v>0.25333333333333335</v>
      </c>
      <c r="I10" s="12">
        <f>IF($A10="",0,SUMIF(월간투입!$C$8:$C$127,$A10,월간투입!$Q$8:$Q$127))</f>
        <v>9.6000000000000014</v>
      </c>
      <c r="J10" s="13">
        <f t="shared" si="2"/>
        <v>15624999.999999998</v>
      </c>
      <c r="K10" s="13">
        <f t="shared" si="3"/>
        <v>3958333.3333333326</v>
      </c>
    </row>
    <row r="11" spans="1:11">
      <c r="A11" s="7" t="s">
        <v>36</v>
      </c>
      <c r="B11" s="7" t="s">
        <v>31</v>
      </c>
      <c r="C11" s="8">
        <v>46023</v>
      </c>
      <c r="D11" s="8">
        <v>46113</v>
      </c>
      <c r="E11" s="9">
        <f t="shared" si="0"/>
        <v>4</v>
      </c>
      <c r="F11" s="10">
        <v>60000000</v>
      </c>
      <c r="G11" s="10">
        <v>12000000</v>
      </c>
      <c r="H11" s="11">
        <f t="shared" si="1"/>
        <v>0.2</v>
      </c>
      <c r="I11" s="12">
        <f>IF($A11="",0,SUMIF(월간투입!$C$8:$C$127,$A11,월간투입!$Q$8:$Q$127))</f>
        <v>4.4000000000000004</v>
      </c>
      <c r="J11" s="13">
        <f t="shared" si="2"/>
        <v>13636363.636363635</v>
      </c>
      <c r="K11" s="13">
        <f t="shared" si="3"/>
        <v>2727272.7272727271</v>
      </c>
    </row>
    <row r="12" spans="1:11">
      <c r="A12" s="7" t="s">
        <v>37</v>
      </c>
      <c r="B12" s="7" t="s">
        <v>31</v>
      </c>
      <c r="C12" s="8">
        <v>46023</v>
      </c>
      <c r="D12" s="8">
        <v>46357</v>
      </c>
      <c r="E12" s="9">
        <f t="shared" si="0"/>
        <v>12</v>
      </c>
      <c r="F12" s="10">
        <v>90000000</v>
      </c>
      <c r="G12" s="10">
        <v>18000000</v>
      </c>
      <c r="H12" s="11">
        <f t="shared" si="1"/>
        <v>0.2</v>
      </c>
      <c r="I12" s="12">
        <f>IF($A12="",0,SUMIF(월간투입!$C$8:$C$127,$A12,월간투입!$Q$8:$Q$127))</f>
        <v>14.799999999999999</v>
      </c>
      <c r="J12" s="13">
        <f t="shared" si="2"/>
        <v>6081081.0810810812</v>
      </c>
      <c r="K12" s="13">
        <f t="shared" si="3"/>
        <v>1216216.2162162163</v>
      </c>
    </row>
    <row r="13" spans="1:11">
      <c r="A13" s="7" t="s">
        <v>38</v>
      </c>
      <c r="B13" s="7" t="s">
        <v>31</v>
      </c>
      <c r="C13" s="8">
        <v>46023</v>
      </c>
      <c r="D13" s="8">
        <v>46357</v>
      </c>
      <c r="E13" s="9">
        <f t="shared" si="0"/>
        <v>12</v>
      </c>
      <c r="F13" s="10">
        <v>70000000</v>
      </c>
      <c r="G13" s="10">
        <v>10000000</v>
      </c>
      <c r="H13" s="11">
        <f t="shared" si="1"/>
        <v>0.14285714285714285</v>
      </c>
      <c r="I13" s="12">
        <f>IF($A13="",0,SUMIF(월간투입!$C$8:$C$127,$A13,월간투입!$Q$8:$Q$127))</f>
        <v>10.799999999999997</v>
      </c>
      <c r="J13" s="13">
        <f t="shared" si="2"/>
        <v>6481481.4814814832</v>
      </c>
      <c r="K13" s="13">
        <f t="shared" si="3"/>
        <v>925925.92592592619</v>
      </c>
    </row>
    <row r="14" spans="1:11">
      <c r="A14" s="7" t="s">
        <v>39</v>
      </c>
      <c r="B14" s="7" t="s">
        <v>40</v>
      </c>
      <c r="C14" s="8"/>
      <c r="D14" s="8"/>
      <c r="E14" s="9" t="str">
        <f t="shared" si="0"/>
        <v/>
      </c>
      <c r="F14" s="10"/>
      <c r="G14" s="10"/>
      <c r="H14" s="11" t="str">
        <f t="shared" si="1"/>
        <v/>
      </c>
      <c r="I14" s="12">
        <f>IF($A14="",0,SUMIF(월간투입!$C$8:$C$127,$A14,월간투입!$Q$8:$Q$127))</f>
        <v>2.4</v>
      </c>
      <c r="J14" s="13" t="str">
        <f t="shared" si="2"/>
        <v/>
      </c>
      <c r="K14" s="13" t="str">
        <f t="shared" si="3"/>
        <v/>
      </c>
    </row>
    <row r="15" spans="1:11">
      <c r="A15" s="7" t="s">
        <v>41</v>
      </c>
      <c r="B15" s="7" t="s">
        <v>40</v>
      </c>
      <c r="C15" s="8"/>
      <c r="D15" s="8"/>
      <c r="E15" s="9" t="str">
        <f t="shared" si="0"/>
        <v/>
      </c>
      <c r="F15" s="10"/>
      <c r="G15" s="10"/>
      <c r="H15" s="11" t="str">
        <f t="shared" si="1"/>
        <v/>
      </c>
      <c r="I15" s="12">
        <f>IF($A15="",0,SUMIF(월간투입!$C$8:$C$127,$A15,월간투입!$Q$8:$Q$127))</f>
        <v>11.999999999999998</v>
      </c>
      <c r="J15" s="13" t="str">
        <f t="shared" si="2"/>
        <v/>
      </c>
      <c r="K15" s="13" t="str">
        <f t="shared" si="3"/>
        <v/>
      </c>
    </row>
    <row r="16" spans="1:11">
      <c r="A16" s="7" t="s">
        <v>42</v>
      </c>
      <c r="B16" s="7" t="s">
        <v>40</v>
      </c>
      <c r="C16" s="8"/>
      <c r="D16" s="8"/>
      <c r="E16" s="9" t="str">
        <f t="shared" si="0"/>
        <v/>
      </c>
      <c r="F16" s="10"/>
      <c r="G16" s="10"/>
      <c r="H16" s="11" t="str">
        <f t="shared" si="1"/>
        <v/>
      </c>
      <c r="I16" s="12">
        <f>IF($A16="",0,SUMIF(월간투입!$C$8:$C$127,$A16,월간투입!$Q$8:$Q$127))</f>
        <v>6</v>
      </c>
      <c r="J16" s="13" t="str">
        <f t="shared" si="2"/>
        <v/>
      </c>
      <c r="K16" s="13" t="str">
        <f t="shared" si="3"/>
        <v/>
      </c>
    </row>
    <row r="17" spans="1:11">
      <c r="A17" s="7" t="s">
        <v>43</v>
      </c>
      <c r="B17" s="7" t="s">
        <v>40</v>
      </c>
      <c r="C17" s="8"/>
      <c r="D17" s="8"/>
      <c r="E17" s="9" t="str">
        <f t="shared" si="0"/>
        <v/>
      </c>
      <c r="F17" s="10"/>
      <c r="G17" s="10"/>
      <c r="H17" s="11" t="str">
        <f t="shared" si="1"/>
        <v/>
      </c>
      <c r="I17" s="12">
        <f>IF($A17="",0,SUMIF(월간투입!$C$8:$C$127,$A17,월간투입!$Q$8:$Q$127))</f>
        <v>3.3</v>
      </c>
      <c r="J17" s="13" t="str">
        <f t="shared" si="2"/>
        <v/>
      </c>
      <c r="K17" s="13" t="str">
        <f t="shared" si="3"/>
        <v/>
      </c>
    </row>
    <row r="18" spans="1:11">
      <c r="A18" s="7" t="s">
        <v>44</v>
      </c>
      <c r="B18" s="7" t="s">
        <v>40</v>
      </c>
      <c r="C18" s="8"/>
      <c r="D18" s="8"/>
      <c r="E18" s="9" t="str">
        <f t="shared" si="0"/>
        <v/>
      </c>
      <c r="F18" s="10"/>
      <c r="G18" s="10"/>
      <c r="H18" s="11" t="str">
        <f t="shared" si="1"/>
        <v/>
      </c>
      <c r="I18" s="12">
        <f>IF($A18="",0,SUMIF(월간투입!$C$8:$C$127,$A18,월간투입!$Q$8:$Q$127))</f>
        <v>6</v>
      </c>
      <c r="J18" s="13" t="str">
        <f t="shared" si="2"/>
        <v/>
      </c>
      <c r="K18" s="13" t="str">
        <f t="shared" si="3"/>
        <v/>
      </c>
    </row>
    <row r="19" spans="1:11">
      <c r="A19" s="7" t="s">
        <v>45</v>
      </c>
      <c r="B19" s="7" t="s">
        <v>46</v>
      </c>
      <c r="C19" s="8"/>
      <c r="D19" s="8"/>
      <c r="E19" s="9" t="str">
        <f t="shared" si="0"/>
        <v/>
      </c>
      <c r="F19" s="10"/>
      <c r="G19" s="10"/>
      <c r="H19" s="11" t="str">
        <f t="shared" si="1"/>
        <v/>
      </c>
      <c r="I19" s="12">
        <f>IF($A19="",0,SUMIF(월간투입!$C$8:$C$127,$A19,월간투입!$Q$8:$Q$127))</f>
        <v>4.8000000000000007</v>
      </c>
      <c r="J19" s="13" t="str">
        <f t="shared" si="2"/>
        <v/>
      </c>
      <c r="K19" s="13" t="str">
        <f t="shared" si="3"/>
        <v/>
      </c>
    </row>
    <row r="20" spans="1:11">
      <c r="A20" s="7" t="s">
        <v>47</v>
      </c>
      <c r="B20" s="7" t="s">
        <v>46</v>
      </c>
      <c r="C20" s="8"/>
      <c r="D20" s="8"/>
      <c r="E20" s="9" t="str">
        <f t="shared" si="0"/>
        <v/>
      </c>
      <c r="F20" s="10"/>
      <c r="G20" s="10"/>
      <c r="H20" s="11" t="str">
        <f t="shared" si="1"/>
        <v/>
      </c>
      <c r="I20" s="12">
        <f>IF($A20="",0,SUMIF(월간투입!$C$8:$C$127,$A20,월간투입!$Q$8:$Q$127))</f>
        <v>3</v>
      </c>
      <c r="J20" s="13" t="str">
        <f t="shared" si="2"/>
        <v/>
      </c>
      <c r="K20" s="13" t="str">
        <f t="shared" si="3"/>
        <v/>
      </c>
    </row>
    <row r="21" spans="1:11">
      <c r="A21" s="7" t="s">
        <v>48</v>
      </c>
      <c r="B21" s="7" t="s">
        <v>46</v>
      </c>
      <c r="C21" s="8"/>
      <c r="D21" s="8"/>
      <c r="E21" s="9" t="str">
        <f t="shared" si="0"/>
        <v/>
      </c>
      <c r="F21" s="10"/>
      <c r="G21" s="10"/>
      <c r="H21" s="11" t="str">
        <f t="shared" si="1"/>
        <v/>
      </c>
      <c r="I21" s="12">
        <f>IF($A21="",0,SUMIF(월간투입!$C$8:$C$127,$A21,월간투입!$Q$8:$Q$127))</f>
        <v>2.4</v>
      </c>
      <c r="J21" s="13" t="str">
        <f t="shared" si="2"/>
        <v/>
      </c>
      <c r="K21" s="13" t="str">
        <f t="shared" si="3"/>
        <v/>
      </c>
    </row>
    <row r="22" spans="1:11">
      <c r="A22" s="7" t="s">
        <v>49</v>
      </c>
      <c r="B22" s="7" t="s">
        <v>46</v>
      </c>
      <c r="C22" s="8"/>
      <c r="D22" s="8"/>
      <c r="E22" s="9" t="str">
        <f t="shared" si="0"/>
        <v/>
      </c>
      <c r="F22" s="10"/>
      <c r="G22" s="10"/>
      <c r="H22" s="11" t="str">
        <f t="shared" si="1"/>
        <v/>
      </c>
      <c r="I22" s="12">
        <f>IF($A22="",0,SUMIF(월간투입!$C$8:$C$127,$A22,월간투입!$Q$8:$Q$127))</f>
        <v>6</v>
      </c>
      <c r="J22" s="13" t="str">
        <f t="shared" si="2"/>
        <v/>
      </c>
      <c r="K22" s="13" t="str">
        <f t="shared" si="3"/>
        <v/>
      </c>
    </row>
    <row r="23" spans="1:11">
      <c r="A23" s="7" t="s">
        <v>50</v>
      </c>
      <c r="B23" s="7" t="s">
        <v>46</v>
      </c>
      <c r="C23" s="8"/>
      <c r="D23" s="8"/>
      <c r="E23" s="9" t="str">
        <f t="shared" si="0"/>
        <v/>
      </c>
      <c r="F23" s="10"/>
      <c r="G23" s="10"/>
      <c r="H23" s="11" t="str">
        <f t="shared" si="1"/>
        <v/>
      </c>
      <c r="I23" s="12">
        <f>IF($A23="",0,SUMIF(월간투입!$C$8:$C$127,$A23,월간투입!$Q$8:$Q$127))</f>
        <v>1.2000000000000002</v>
      </c>
      <c r="J23" s="13" t="str">
        <f t="shared" si="2"/>
        <v/>
      </c>
      <c r="K23" s="13" t="str">
        <f t="shared" si="3"/>
        <v/>
      </c>
    </row>
    <row r="24" spans="1:11">
      <c r="A24" s="14"/>
      <c r="B24" s="14"/>
      <c r="C24" s="15"/>
      <c r="D24" s="15"/>
      <c r="E24" s="16" t="str">
        <f t="shared" si="0"/>
        <v/>
      </c>
      <c r="F24" s="17"/>
      <c r="G24" s="17"/>
      <c r="H24" s="18" t="str">
        <f t="shared" si="1"/>
        <v/>
      </c>
      <c r="I24" s="19">
        <f>IF($A24="",0,SUMIF(월간투입!$C$8:$C$127,$A24,월간투입!$Q$8:$Q$127))</f>
        <v>0</v>
      </c>
      <c r="J24" s="20" t="str">
        <f t="shared" si="2"/>
        <v/>
      </c>
      <c r="K24" s="20" t="str">
        <f t="shared" si="3"/>
        <v/>
      </c>
    </row>
    <row r="25" spans="1:11">
      <c r="A25" s="14"/>
      <c r="B25" s="14"/>
      <c r="C25" s="15"/>
      <c r="D25" s="15"/>
      <c r="E25" s="16" t="str">
        <f t="shared" si="0"/>
        <v/>
      </c>
      <c r="F25" s="17"/>
      <c r="G25" s="17"/>
      <c r="H25" s="18" t="str">
        <f t="shared" si="1"/>
        <v/>
      </c>
      <c r="I25" s="19">
        <f>IF($A25="",0,SUMIF(월간투입!$C$8:$C$127,$A25,월간투입!$Q$8:$Q$127))</f>
        <v>0</v>
      </c>
      <c r="J25" s="20" t="str">
        <f t="shared" si="2"/>
        <v/>
      </c>
      <c r="K25" s="20" t="str">
        <f t="shared" si="3"/>
        <v/>
      </c>
    </row>
    <row r="26" spans="1:11">
      <c r="A26" s="14"/>
      <c r="B26" s="14"/>
      <c r="C26" s="15"/>
      <c r="D26" s="15"/>
      <c r="E26" s="16" t="str">
        <f t="shared" si="0"/>
        <v/>
      </c>
      <c r="F26" s="17"/>
      <c r="G26" s="17"/>
      <c r="H26" s="18" t="str">
        <f t="shared" si="1"/>
        <v/>
      </c>
      <c r="I26" s="19">
        <f>IF($A26="",0,SUMIF(월간투입!$C$8:$C$127,$A26,월간투입!$Q$8:$Q$127))</f>
        <v>0</v>
      </c>
      <c r="J26" s="20" t="str">
        <f t="shared" si="2"/>
        <v/>
      </c>
      <c r="K26" s="20" t="str">
        <f t="shared" si="3"/>
        <v/>
      </c>
    </row>
    <row r="27" spans="1:11">
      <c r="A27" s="14"/>
      <c r="B27" s="14"/>
      <c r="C27" s="15"/>
      <c r="D27" s="15"/>
      <c r="E27" s="16" t="str">
        <f t="shared" si="0"/>
        <v/>
      </c>
      <c r="F27" s="17"/>
      <c r="G27" s="17"/>
      <c r="H27" s="18" t="str">
        <f t="shared" si="1"/>
        <v/>
      </c>
      <c r="I27" s="19">
        <f>IF($A27="",0,SUMIF(월간투입!$C$8:$C$127,$A27,월간투입!$Q$8:$Q$127))</f>
        <v>0</v>
      </c>
      <c r="J27" s="20" t="str">
        <f t="shared" si="2"/>
        <v/>
      </c>
      <c r="K27" s="20" t="str">
        <f t="shared" si="3"/>
        <v/>
      </c>
    </row>
    <row r="28" spans="1:11">
      <c r="A28" s="14"/>
      <c r="B28" s="14"/>
      <c r="C28" s="15"/>
      <c r="D28" s="15"/>
      <c r="E28" s="16" t="str">
        <f t="shared" si="0"/>
        <v/>
      </c>
      <c r="F28" s="17"/>
      <c r="G28" s="17"/>
      <c r="H28" s="18" t="str">
        <f t="shared" si="1"/>
        <v/>
      </c>
      <c r="I28" s="19">
        <f>IF($A28="",0,SUMIF(월간투입!$C$8:$C$127,$A28,월간투입!$Q$8:$Q$127))</f>
        <v>0</v>
      </c>
      <c r="J28" s="20" t="str">
        <f t="shared" si="2"/>
        <v/>
      </c>
      <c r="K28" s="20" t="str">
        <f t="shared" si="3"/>
        <v/>
      </c>
    </row>
    <row r="29" spans="1:11">
      <c r="A29" s="14"/>
      <c r="B29" s="14"/>
      <c r="C29" s="15"/>
      <c r="D29" s="15"/>
      <c r="E29" s="16" t="str">
        <f t="shared" si="0"/>
        <v/>
      </c>
      <c r="F29" s="17"/>
      <c r="G29" s="17"/>
      <c r="H29" s="18" t="str">
        <f t="shared" si="1"/>
        <v/>
      </c>
      <c r="I29" s="19">
        <f>IF($A29="",0,SUMIF(월간투입!$C$8:$C$127,$A29,월간투입!$Q$8:$Q$127))</f>
        <v>0</v>
      </c>
      <c r="J29" s="20" t="str">
        <f t="shared" si="2"/>
        <v/>
      </c>
      <c r="K29" s="20" t="str">
        <f t="shared" si="3"/>
        <v/>
      </c>
    </row>
    <row r="30" spans="1:11">
      <c r="A30" s="14"/>
      <c r="B30" s="14"/>
      <c r="C30" s="15"/>
      <c r="D30" s="15"/>
      <c r="E30" s="16" t="str">
        <f t="shared" si="0"/>
        <v/>
      </c>
      <c r="F30" s="17"/>
      <c r="G30" s="17"/>
      <c r="H30" s="18" t="str">
        <f t="shared" si="1"/>
        <v/>
      </c>
      <c r="I30" s="19">
        <f>IF($A30="",0,SUMIF(월간투입!$C$8:$C$127,$A30,월간투입!$Q$8:$Q$127))</f>
        <v>0</v>
      </c>
      <c r="J30" s="20" t="str">
        <f t="shared" si="2"/>
        <v/>
      </c>
      <c r="K30" s="20" t="str">
        <f t="shared" si="3"/>
        <v/>
      </c>
    </row>
    <row r="31" spans="1:11">
      <c r="A31" s="14"/>
      <c r="B31" s="14"/>
      <c r="C31" s="15"/>
      <c r="D31" s="15"/>
      <c r="E31" s="16" t="str">
        <f t="shared" si="0"/>
        <v/>
      </c>
      <c r="F31" s="17"/>
      <c r="G31" s="17"/>
      <c r="H31" s="18" t="str">
        <f t="shared" si="1"/>
        <v/>
      </c>
      <c r="I31" s="19">
        <f>IF($A31="",0,SUMIF(월간투입!$C$8:$C$127,$A31,월간투입!$Q$8:$Q$127))</f>
        <v>0</v>
      </c>
      <c r="J31" s="20" t="str">
        <f t="shared" si="2"/>
        <v/>
      </c>
      <c r="K31" s="20" t="str">
        <f t="shared" si="3"/>
        <v/>
      </c>
    </row>
    <row r="32" spans="1:11">
      <c r="A32" s="14"/>
      <c r="B32" s="14"/>
      <c r="C32" s="15"/>
      <c r="D32" s="15"/>
      <c r="E32" s="16" t="str">
        <f t="shared" si="0"/>
        <v/>
      </c>
      <c r="F32" s="17"/>
      <c r="G32" s="17"/>
      <c r="H32" s="18" t="str">
        <f t="shared" si="1"/>
        <v/>
      </c>
      <c r="I32" s="19">
        <f>IF($A32="",0,SUMIF(월간투입!$C$8:$C$127,$A32,월간투입!$Q$8:$Q$127))</f>
        <v>0</v>
      </c>
      <c r="J32" s="20" t="str">
        <f t="shared" si="2"/>
        <v/>
      </c>
      <c r="K32" s="20" t="str">
        <f t="shared" si="3"/>
        <v/>
      </c>
    </row>
    <row r="33" spans="1:11">
      <c r="A33" s="14"/>
      <c r="B33" s="14"/>
      <c r="C33" s="15"/>
      <c r="D33" s="15"/>
      <c r="E33" s="16" t="str">
        <f t="shared" si="0"/>
        <v/>
      </c>
      <c r="F33" s="17"/>
      <c r="G33" s="17"/>
      <c r="H33" s="18" t="str">
        <f t="shared" si="1"/>
        <v/>
      </c>
      <c r="I33" s="19">
        <f>IF($A33="",0,SUMIF(월간투입!$C$8:$C$127,$A33,월간투입!$Q$8:$Q$127))</f>
        <v>0</v>
      </c>
      <c r="J33" s="20" t="str">
        <f t="shared" si="2"/>
        <v/>
      </c>
      <c r="K33" s="20" t="str">
        <f t="shared" si="3"/>
        <v/>
      </c>
    </row>
    <row r="34" spans="1:11">
      <c r="A34" s="14"/>
      <c r="B34" s="14"/>
      <c r="C34" s="15"/>
      <c r="D34" s="15"/>
      <c r="E34" s="16" t="str">
        <f t="shared" si="0"/>
        <v/>
      </c>
      <c r="F34" s="17"/>
      <c r="G34" s="17"/>
      <c r="H34" s="18" t="str">
        <f t="shared" si="1"/>
        <v/>
      </c>
      <c r="I34" s="19">
        <f>IF($A34="",0,SUMIF(월간투입!$C$8:$C$127,$A34,월간투입!$Q$8:$Q$127))</f>
        <v>0</v>
      </c>
      <c r="J34" s="20" t="str">
        <f t="shared" si="2"/>
        <v/>
      </c>
      <c r="K34" s="20" t="str">
        <f t="shared" si="3"/>
        <v/>
      </c>
    </row>
    <row r="35" spans="1:11">
      <c r="A35" s="14"/>
      <c r="B35" s="14"/>
      <c r="C35" s="15"/>
      <c r="D35" s="15"/>
      <c r="E35" s="16" t="str">
        <f t="shared" si="0"/>
        <v/>
      </c>
      <c r="F35" s="17"/>
      <c r="G35" s="17"/>
      <c r="H35" s="18" t="str">
        <f t="shared" si="1"/>
        <v/>
      </c>
      <c r="I35" s="19">
        <f>IF($A35="",0,SUMIF(월간투입!$C$8:$C$127,$A35,월간투입!$Q$8:$Q$127))</f>
        <v>0</v>
      </c>
      <c r="J35" s="20" t="str">
        <f t="shared" si="2"/>
        <v/>
      </c>
      <c r="K35" s="20" t="str">
        <f t="shared" si="3"/>
        <v/>
      </c>
    </row>
    <row r="36" spans="1:11">
      <c r="A36" s="21" t="s">
        <v>51</v>
      </c>
      <c r="B36" s="22"/>
      <c r="C36" s="22"/>
      <c r="D36" s="22"/>
      <c r="E36" s="22"/>
      <c r="F36" s="23">
        <f>SUM(F6:F35)</f>
        <v>1640000000</v>
      </c>
      <c r="G36" s="23">
        <f>SUM(G6:G35)</f>
        <v>448000000</v>
      </c>
      <c r="H36" s="24">
        <f>IF(F36=0,"",G36/F36)</f>
        <v>0.27317073170731709</v>
      </c>
      <c r="I36" s="25">
        <f>SUM(I6:I35)</f>
        <v>125.00000000000001</v>
      </c>
      <c r="J36" s="22"/>
      <c r="K36" s="22"/>
    </row>
    <row r="38" spans="1:11">
      <c r="A38" s="1" t="s">
        <v>52</v>
      </c>
    </row>
    <row r="39" spans="1:11">
      <c r="A39" s="1" t="s">
        <v>53</v>
      </c>
    </row>
    <row r="40" spans="1:11">
      <c r="A40" s="1" t="s">
        <v>54</v>
      </c>
    </row>
    <row r="41" spans="1:11">
      <c r="A41" s="1" t="s">
        <v>55</v>
      </c>
    </row>
  </sheetData>
  <phoneticPr fontId="32" type="noConversion"/>
  <dataValidations count="1">
    <dataValidation type="list" allowBlank="1" sqref="B6:B35" xr:uid="{00000000-0002-0000-0100-000000000000}">
      <formula1>"사업,운영,지원,기타"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78"/>
  <sheetViews>
    <sheetView zoomScaleNormal="10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ColWidth="8.7109375" defaultRowHeight="15"/>
  <cols>
    <col min="1" max="1" width="24" customWidth="1"/>
    <col min="2" max="2" width="13" customWidth="1"/>
    <col min="3" max="3" width="26" customWidth="1"/>
    <col min="4" max="4" width="11" customWidth="1"/>
    <col min="5" max="16" width="9" customWidth="1"/>
    <col min="17" max="17" width="11" customWidth="1"/>
    <col min="18" max="19" width="16" customWidth="1"/>
  </cols>
  <sheetData>
    <row r="1" spans="1:19" ht="18">
      <c r="A1" s="4" t="s">
        <v>56</v>
      </c>
    </row>
    <row r="2" spans="1:19">
      <c r="A2" s="1" t="s">
        <v>57</v>
      </c>
    </row>
    <row r="3" spans="1:19">
      <c r="A3" s="26" t="s">
        <v>58</v>
      </c>
    </row>
    <row r="5" spans="1:19">
      <c r="A5" s="27" t="s">
        <v>59</v>
      </c>
      <c r="B5" s="28">
        <v>46023</v>
      </c>
      <c r="C5" s="1" t="s">
        <v>60</v>
      </c>
    </row>
    <row r="7" spans="1:19" ht="33.75" customHeight="1">
      <c r="A7" s="5" t="s">
        <v>61</v>
      </c>
      <c r="B7" s="5" t="s">
        <v>62</v>
      </c>
      <c r="C7" s="5" t="s">
        <v>19</v>
      </c>
      <c r="D7" s="5" t="s">
        <v>20</v>
      </c>
      <c r="E7" s="29">
        <f>$B$5</f>
        <v>46023</v>
      </c>
      <c r="F7" s="29">
        <f t="shared" ref="F7:P7" si="0">EDATE(E$7,1)</f>
        <v>46054</v>
      </c>
      <c r="G7" s="29">
        <f t="shared" si="0"/>
        <v>46082</v>
      </c>
      <c r="H7" s="29">
        <f t="shared" si="0"/>
        <v>46113</v>
      </c>
      <c r="I7" s="29">
        <f t="shared" si="0"/>
        <v>46143</v>
      </c>
      <c r="J7" s="29">
        <f t="shared" si="0"/>
        <v>46174</v>
      </c>
      <c r="K7" s="29">
        <f t="shared" si="0"/>
        <v>46204</v>
      </c>
      <c r="L7" s="29">
        <f t="shared" si="0"/>
        <v>46235</v>
      </c>
      <c r="M7" s="29">
        <f t="shared" si="0"/>
        <v>46266</v>
      </c>
      <c r="N7" s="29">
        <f t="shared" si="0"/>
        <v>46296</v>
      </c>
      <c r="O7" s="29">
        <f t="shared" si="0"/>
        <v>46327</v>
      </c>
      <c r="P7" s="29">
        <f t="shared" si="0"/>
        <v>46357</v>
      </c>
      <c r="Q7" s="5" t="s">
        <v>63</v>
      </c>
      <c r="R7" s="5" t="s">
        <v>64</v>
      </c>
      <c r="S7" s="5" t="s">
        <v>65</v>
      </c>
    </row>
    <row r="8" spans="1:19">
      <c r="A8" s="30" t="str">
        <f>IF($B8="","",IFERROR(INDEX(팀별분석!$R$9:$R$48,MATCH($B8,팀별분석!$Q$9:$Q$48,0)),"명단확인"))</f>
        <v>사업운영팀 기획1파트</v>
      </c>
      <c r="B8" s="7" t="s">
        <v>66</v>
      </c>
      <c r="C8" s="7" t="s">
        <v>30</v>
      </c>
      <c r="D8" s="30" t="str">
        <f>IF($C8="","",IFERROR(INDEX(사업정보!$B$6:$B$35,MATCH($C8,사업정보!$A$6:$A$35,0)),"사업명확인"))</f>
        <v>사업</v>
      </c>
      <c r="E8" s="31">
        <v>0.7</v>
      </c>
      <c r="F8" s="31">
        <v>0.7</v>
      </c>
      <c r="G8" s="31">
        <v>0.7</v>
      </c>
      <c r="H8" s="31">
        <v>0.6</v>
      </c>
      <c r="I8" s="31">
        <v>0.4</v>
      </c>
      <c r="J8" s="31"/>
      <c r="K8" s="31"/>
      <c r="L8" s="31"/>
      <c r="M8" s="31"/>
      <c r="N8" s="31"/>
      <c r="O8" s="31"/>
      <c r="P8" s="31"/>
      <c r="Q8" s="12">
        <f t="shared" ref="Q8:Q39" si="1">IF($B8="",0,SUM(E8:P8))</f>
        <v>3.0999999999999996</v>
      </c>
      <c r="R8" s="13">
        <f>IF($B8="",0,IFERROR(Q8*INDEX(사업정보!$F$6:$F$35,MATCH($C8,사업정보!$A$6:$A$35,0))/INDEX(사업정보!$I$6:$I$35,MATCH($C8,사업정보!$A$6:$A$35,0)),0))</f>
        <v>126407766.99029122</v>
      </c>
      <c r="S8" s="13">
        <f>IF($B8="",0,IFERROR(Q8*INDEX(사업정보!$G$6:$G$35,MATCH($C8,사업정보!$A$6:$A$35,0))/INDEX(사업정보!$I$6:$I$35,MATCH($C8,사업정보!$A$6:$A$35,0)),0))</f>
        <v>37922330.097087368</v>
      </c>
    </row>
    <row r="9" spans="1:19">
      <c r="A9" s="30" t="str">
        <f>IF($B9="","",IFERROR(INDEX(팀별분석!$R$9:$R$48,MATCH($B9,팀별분석!$Q$9:$Q$48,0)),"명단확인"))</f>
        <v>사업운영팀 기획1파트</v>
      </c>
      <c r="B9" s="7" t="s">
        <v>66</v>
      </c>
      <c r="C9" s="7" t="s">
        <v>39</v>
      </c>
      <c r="D9" s="30" t="str">
        <f>IF($C9="","",IFERROR(INDEX(사업정보!$B$6:$B$35,MATCH($C9,사업정보!$A$6:$A$35,0)),"사업명확인"))</f>
        <v>운영</v>
      </c>
      <c r="E9" s="31">
        <v>0.2</v>
      </c>
      <c r="F9" s="31">
        <v>0.2</v>
      </c>
      <c r="G9" s="31">
        <v>0.2</v>
      </c>
      <c r="H9" s="31">
        <v>0.2</v>
      </c>
      <c r="I9" s="31">
        <v>0.2</v>
      </c>
      <c r="J9" s="31">
        <v>0.2</v>
      </c>
      <c r="K9" s="31">
        <v>0.2</v>
      </c>
      <c r="L9" s="31">
        <v>0.2</v>
      </c>
      <c r="M9" s="31">
        <v>0.2</v>
      </c>
      <c r="N9" s="31">
        <v>0.2</v>
      </c>
      <c r="O9" s="31">
        <v>0.2</v>
      </c>
      <c r="P9" s="31">
        <v>0.2</v>
      </c>
      <c r="Q9" s="12">
        <f t="shared" si="1"/>
        <v>2.4</v>
      </c>
      <c r="R9" s="13">
        <f>IF($B9="",0,IFERROR(Q9*INDEX(사업정보!$F$6:$F$35,MATCH($C9,사업정보!$A$6:$A$35,0))/INDEX(사업정보!$I$6:$I$35,MATCH($C9,사업정보!$A$6:$A$35,0)),0))</f>
        <v>0</v>
      </c>
      <c r="S9" s="13">
        <f>IF($B9="",0,IFERROR(Q9*INDEX(사업정보!$G$6:$G$35,MATCH($C9,사업정보!$A$6:$A$35,0))/INDEX(사업정보!$I$6:$I$35,MATCH($C9,사업정보!$A$6:$A$35,0)),0))</f>
        <v>0</v>
      </c>
    </row>
    <row r="10" spans="1:19">
      <c r="A10" s="30" t="str">
        <f>IF($B10="","",IFERROR(INDEX(팀별분석!$R$9:$R$48,MATCH($B10,팀별분석!$Q$9:$Q$48,0)),"명단확인"))</f>
        <v>사업운영팀 기획1파트</v>
      </c>
      <c r="B10" s="7" t="s">
        <v>66</v>
      </c>
      <c r="C10" s="7" t="s">
        <v>33</v>
      </c>
      <c r="D10" s="30" t="str">
        <f>IF($C10="","",IFERROR(INDEX(사업정보!$B$6:$B$35,MATCH($C10,사업정보!$A$6:$A$35,0)),"사업명확인"))</f>
        <v>사업</v>
      </c>
      <c r="E10" s="31">
        <v>0.3</v>
      </c>
      <c r="F10" s="31">
        <v>0.3</v>
      </c>
      <c r="G10" s="31">
        <v>0.3</v>
      </c>
      <c r="H10" s="31">
        <v>0.3</v>
      </c>
      <c r="I10" s="31">
        <v>0.3</v>
      </c>
      <c r="J10" s="31">
        <v>0.3</v>
      </c>
      <c r="K10" s="31"/>
      <c r="L10" s="31"/>
      <c r="M10" s="31"/>
      <c r="N10" s="31"/>
      <c r="O10" s="31"/>
      <c r="P10" s="31"/>
      <c r="Q10" s="12">
        <f t="shared" si="1"/>
        <v>1.8</v>
      </c>
      <c r="R10" s="13">
        <f>IF($B10="",0,IFERROR(Q10*INDEX(사업정보!$F$6:$F$35,MATCH($C10,사업정보!$A$6:$A$35,0))/INDEX(사업정보!$I$6:$I$35,MATCH($C10,사업정보!$A$6:$A$35,0)),0))</f>
        <v>58125000</v>
      </c>
      <c r="S10" s="13">
        <f>IF($B10="",0,IFERROR(Q10*INDEX(사업정보!$G$6:$G$35,MATCH($C10,사업정보!$A$6:$A$35,0))/INDEX(사업정보!$I$6:$I$35,MATCH($C10,사업정보!$A$6:$A$35,0)),0))</f>
        <v>18000000</v>
      </c>
    </row>
    <row r="11" spans="1:19">
      <c r="A11" s="30" t="str">
        <f>IF($B11="","",IFERROR(INDEX(팀별분석!$R$9:$R$48,MATCH($B11,팀별분석!$Q$9:$Q$48,0)),"명단확인"))</f>
        <v>사업운영팀 기획1파트</v>
      </c>
      <c r="B11" s="7" t="s">
        <v>67</v>
      </c>
      <c r="C11" s="7" t="s">
        <v>30</v>
      </c>
      <c r="D11" s="30" t="str">
        <f>IF($C11="","",IFERROR(INDEX(사업정보!$B$6:$B$35,MATCH($C11,사업정보!$A$6:$A$35,0)),"사업명확인"))</f>
        <v>사업</v>
      </c>
      <c r="E11" s="31">
        <v>0.8</v>
      </c>
      <c r="F11" s="31">
        <v>0.8</v>
      </c>
      <c r="G11" s="31">
        <v>0.8</v>
      </c>
      <c r="H11" s="31">
        <v>0.8</v>
      </c>
      <c r="I11" s="31">
        <v>0.8</v>
      </c>
      <c r="J11" s="31">
        <v>0.4</v>
      </c>
      <c r="K11" s="31"/>
      <c r="L11" s="31"/>
      <c r="M11" s="31"/>
      <c r="N11" s="31"/>
      <c r="O11" s="31"/>
      <c r="P11" s="31"/>
      <c r="Q11" s="12">
        <f t="shared" si="1"/>
        <v>4.4000000000000004</v>
      </c>
      <c r="R11" s="13">
        <f>IF($B11="",0,IFERROR(Q11*INDEX(사업정보!$F$6:$F$35,MATCH($C11,사업정보!$A$6:$A$35,0))/INDEX(사업정보!$I$6:$I$35,MATCH($C11,사업정보!$A$6:$A$35,0)),0))</f>
        <v>179417475.72815534</v>
      </c>
      <c r="S11" s="13">
        <f>IF($B11="",0,IFERROR(Q11*INDEX(사업정보!$G$6:$G$35,MATCH($C11,사업정보!$A$6:$A$35,0))/INDEX(사업정보!$I$6:$I$35,MATCH($C11,사업정보!$A$6:$A$35,0)),0))</f>
        <v>53825242.718446597</v>
      </c>
    </row>
    <row r="12" spans="1:19">
      <c r="A12" s="30" t="str">
        <f>IF($B12="","",IFERROR(INDEX(팀별분석!$R$9:$R$48,MATCH($B12,팀별분석!$Q$9:$Q$48,0)),"명단확인"))</f>
        <v>사업운영팀 기획1파트</v>
      </c>
      <c r="B12" s="7" t="s">
        <v>67</v>
      </c>
      <c r="C12" s="7" t="s">
        <v>32</v>
      </c>
      <c r="D12" s="30" t="str">
        <f>IF($C12="","",IFERROR(INDEX(사업정보!$B$6:$B$35,MATCH($C12,사업정보!$A$6:$A$35,0)),"사업명확인"))</f>
        <v>사업</v>
      </c>
      <c r="E12" s="31"/>
      <c r="F12" s="31"/>
      <c r="G12" s="31"/>
      <c r="H12" s="31"/>
      <c r="I12" s="31"/>
      <c r="J12" s="31"/>
      <c r="K12" s="31">
        <v>0.9</v>
      </c>
      <c r="L12" s="31">
        <v>0.9</v>
      </c>
      <c r="M12" s="31">
        <v>0.9</v>
      </c>
      <c r="N12" s="31">
        <v>0.9</v>
      </c>
      <c r="O12" s="31">
        <v>0.9</v>
      </c>
      <c r="P12" s="31">
        <v>0.9</v>
      </c>
      <c r="Q12" s="12">
        <f t="shared" si="1"/>
        <v>5.4</v>
      </c>
      <c r="R12" s="13">
        <f>IF($B12="",0,IFERROR(Q12*INDEX(사업정보!$F$6:$F$35,MATCH($C12,사업정보!$A$6:$A$35,0))/INDEX(사업정보!$I$6:$I$35,MATCH($C12,사업정보!$A$6:$A$35,0)),0))</f>
        <v>167142857.14285713</v>
      </c>
      <c r="S12" s="13">
        <f>IF($B12="",0,IFERROR(Q12*INDEX(사업정보!$G$6:$G$35,MATCH($C12,사업정보!$A$6:$A$35,0))/INDEX(사업정보!$I$6:$I$35,MATCH($C12,사업정보!$A$6:$A$35,0)),0))</f>
        <v>45000000</v>
      </c>
    </row>
    <row r="13" spans="1:19">
      <c r="A13" s="30" t="str">
        <f>IF($B13="","",IFERROR(INDEX(팀별분석!$R$9:$R$48,MATCH($B13,팀별분석!$Q$9:$Q$48,0)),"명단확인"))</f>
        <v>사업운영팀 기획1파트</v>
      </c>
      <c r="B13" s="7" t="s">
        <v>67</v>
      </c>
      <c r="C13" s="7" t="s">
        <v>45</v>
      </c>
      <c r="D13" s="30" t="str">
        <f>IF($C13="","",IFERROR(INDEX(사업정보!$B$6:$B$35,MATCH($C13,사업정보!$A$6:$A$35,0)),"사업명확인"))</f>
        <v>지원</v>
      </c>
      <c r="E13" s="31">
        <v>0.3</v>
      </c>
      <c r="F13" s="31">
        <v>0.3</v>
      </c>
      <c r="G13" s="31">
        <v>0.3</v>
      </c>
      <c r="H13" s="31">
        <v>0.3</v>
      </c>
      <c r="I13" s="31">
        <v>0.3</v>
      </c>
      <c r="J13" s="31">
        <v>0.3</v>
      </c>
      <c r="K13" s="31">
        <v>0.2</v>
      </c>
      <c r="L13" s="31">
        <v>0.2</v>
      </c>
      <c r="M13" s="31">
        <v>0.2</v>
      </c>
      <c r="N13" s="31">
        <v>0.2</v>
      </c>
      <c r="O13" s="31">
        <v>0.2</v>
      </c>
      <c r="P13" s="31">
        <v>0.2</v>
      </c>
      <c r="Q13" s="12">
        <f t="shared" si="1"/>
        <v>3.0000000000000009</v>
      </c>
      <c r="R13" s="13">
        <f>IF($B13="",0,IFERROR(Q13*INDEX(사업정보!$F$6:$F$35,MATCH($C13,사업정보!$A$6:$A$35,0))/INDEX(사업정보!$I$6:$I$35,MATCH($C13,사업정보!$A$6:$A$35,0)),0))</f>
        <v>0</v>
      </c>
      <c r="S13" s="13">
        <f>IF($B13="",0,IFERROR(Q13*INDEX(사업정보!$G$6:$G$35,MATCH($C13,사업정보!$A$6:$A$35,0))/INDEX(사업정보!$I$6:$I$35,MATCH($C13,사업정보!$A$6:$A$35,0)),0))</f>
        <v>0</v>
      </c>
    </row>
    <row r="14" spans="1:19">
      <c r="A14" s="30" t="str">
        <f>IF($B14="","",IFERROR(INDEX(팀별분석!$R$9:$R$48,MATCH($B14,팀별분석!$Q$9:$Q$48,0)),"명단확인"))</f>
        <v>사업운영팀 기획1파트</v>
      </c>
      <c r="B14" s="7" t="s">
        <v>68</v>
      </c>
      <c r="C14" s="7" t="s">
        <v>33</v>
      </c>
      <c r="D14" s="30" t="str">
        <f>IF($C14="","",IFERROR(INDEX(사업정보!$B$6:$B$35,MATCH($C14,사업정보!$A$6:$A$35,0)),"사업명확인"))</f>
        <v>사업</v>
      </c>
      <c r="E14" s="31">
        <v>0.6</v>
      </c>
      <c r="F14" s="31">
        <v>0.6</v>
      </c>
      <c r="G14" s="31">
        <v>0.8</v>
      </c>
      <c r="H14" s="31">
        <v>0.8</v>
      </c>
      <c r="I14" s="31">
        <v>0.8</v>
      </c>
      <c r="J14" s="31">
        <v>0.8</v>
      </c>
      <c r="K14" s="31">
        <v>0.4</v>
      </c>
      <c r="L14" s="31"/>
      <c r="M14" s="31"/>
      <c r="N14" s="31"/>
      <c r="O14" s="31"/>
      <c r="P14" s="31"/>
      <c r="Q14" s="12">
        <f t="shared" si="1"/>
        <v>4.8</v>
      </c>
      <c r="R14" s="13">
        <f>IF($B14="",0,IFERROR(Q14*INDEX(사업정보!$F$6:$F$35,MATCH($C14,사업정보!$A$6:$A$35,0))/INDEX(사업정보!$I$6:$I$35,MATCH($C14,사업정보!$A$6:$A$35,0)),0))</f>
        <v>155000000</v>
      </c>
      <c r="S14" s="13">
        <f>IF($B14="",0,IFERROR(Q14*INDEX(사업정보!$G$6:$G$35,MATCH($C14,사업정보!$A$6:$A$35,0))/INDEX(사업정보!$I$6:$I$35,MATCH($C14,사업정보!$A$6:$A$35,0)),0))</f>
        <v>48000000</v>
      </c>
    </row>
    <row r="15" spans="1:19">
      <c r="A15" s="30" t="str">
        <f>IF($B15="","",IFERROR(INDEX(팀별분석!$R$9:$R$48,MATCH($B15,팀별분석!$Q$9:$Q$48,0)),"명단확인"))</f>
        <v>사업운영팀 기획1파트</v>
      </c>
      <c r="B15" s="7" t="s">
        <v>68</v>
      </c>
      <c r="C15" s="7" t="s">
        <v>47</v>
      </c>
      <c r="D15" s="30" t="str">
        <f>IF($C15="","",IFERROR(INDEX(사업정보!$B$6:$B$35,MATCH($C15,사업정보!$A$6:$A$35,0)),"사업명확인"))</f>
        <v>지원</v>
      </c>
      <c r="E15" s="31"/>
      <c r="F15" s="31"/>
      <c r="G15" s="31"/>
      <c r="H15" s="31"/>
      <c r="I15" s="31"/>
      <c r="J15" s="31"/>
      <c r="K15" s="31"/>
      <c r="L15" s="31">
        <v>0.6</v>
      </c>
      <c r="M15" s="31">
        <v>0.6</v>
      </c>
      <c r="N15" s="31">
        <v>0.6</v>
      </c>
      <c r="O15" s="31">
        <v>0.6</v>
      </c>
      <c r="P15" s="31">
        <v>0.6</v>
      </c>
      <c r="Q15" s="12">
        <f t="shared" si="1"/>
        <v>3</v>
      </c>
      <c r="R15" s="13">
        <f>IF($B15="",0,IFERROR(Q15*INDEX(사업정보!$F$6:$F$35,MATCH($C15,사업정보!$A$6:$A$35,0))/INDEX(사업정보!$I$6:$I$35,MATCH($C15,사업정보!$A$6:$A$35,0)),0))</f>
        <v>0</v>
      </c>
      <c r="S15" s="13">
        <f>IF($B15="",0,IFERROR(Q15*INDEX(사업정보!$G$6:$G$35,MATCH($C15,사업정보!$A$6:$A$35,0))/INDEX(사업정보!$I$6:$I$35,MATCH($C15,사업정보!$A$6:$A$35,0)),0))</f>
        <v>0</v>
      </c>
    </row>
    <row r="16" spans="1:19">
      <c r="A16" s="30" t="str">
        <f>IF($B16="","",IFERROR(INDEX(팀별분석!$R$9:$R$48,MATCH($B16,팀별분석!$Q$9:$Q$48,0)),"명단확인"))</f>
        <v>사업운영팀 기획1파트</v>
      </c>
      <c r="B16" s="7" t="s">
        <v>68</v>
      </c>
      <c r="C16" s="7" t="s">
        <v>41</v>
      </c>
      <c r="D16" s="30" t="str">
        <f>IF($C16="","",IFERROR(INDEX(사업정보!$B$6:$B$35,MATCH($C16,사업정보!$A$6:$A$35,0)),"사업명확인"))</f>
        <v>운영</v>
      </c>
      <c r="E16" s="31">
        <v>0.3</v>
      </c>
      <c r="F16" s="31">
        <v>0.3</v>
      </c>
      <c r="G16" s="31">
        <v>0.3</v>
      </c>
      <c r="H16" s="31">
        <v>0.3</v>
      </c>
      <c r="I16" s="31">
        <v>0.3</v>
      </c>
      <c r="J16" s="31">
        <v>0.3</v>
      </c>
      <c r="K16" s="31">
        <v>0.3</v>
      </c>
      <c r="L16" s="31">
        <v>0.3</v>
      </c>
      <c r="M16" s="31">
        <v>0.3</v>
      </c>
      <c r="N16" s="31">
        <v>0.3</v>
      </c>
      <c r="O16" s="31">
        <v>0.3</v>
      </c>
      <c r="P16" s="31">
        <v>0.3</v>
      </c>
      <c r="Q16" s="12">
        <f t="shared" si="1"/>
        <v>3.5999999999999992</v>
      </c>
      <c r="R16" s="13">
        <f>IF($B16="",0,IFERROR(Q16*INDEX(사업정보!$F$6:$F$35,MATCH($C16,사업정보!$A$6:$A$35,0))/INDEX(사업정보!$I$6:$I$35,MATCH($C16,사업정보!$A$6:$A$35,0)),0))</f>
        <v>0</v>
      </c>
      <c r="S16" s="13">
        <f>IF($B16="",0,IFERROR(Q16*INDEX(사업정보!$G$6:$G$35,MATCH($C16,사업정보!$A$6:$A$35,0))/INDEX(사업정보!$I$6:$I$35,MATCH($C16,사업정보!$A$6:$A$35,0)),0))</f>
        <v>0</v>
      </c>
    </row>
    <row r="17" spans="1:19">
      <c r="A17" s="30" t="str">
        <f>IF($B17="","",IFERROR(INDEX(팀별분석!$R$9:$R$48,MATCH($B17,팀별분석!$Q$9:$Q$48,0)),"명단확인"))</f>
        <v>사업운영팀 기획1파트</v>
      </c>
      <c r="B17" s="7" t="s">
        <v>69</v>
      </c>
      <c r="C17" s="7" t="s">
        <v>41</v>
      </c>
      <c r="D17" s="30" t="str">
        <f>IF($C17="","",IFERROR(INDEX(사업정보!$B$6:$B$35,MATCH($C17,사업정보!$A$6:$A$35,0)),"사업명확인"))</f>
        <v>운영</v>
      </c>
      <c r="E17" s="31">
        <v>0.4</v>
      </c>
      <c r="F17" s="31">
        <v>0.4</v>
      </c>
      <c r="G17" s="31">
        <v>0.4</v>
      </c>
      <c r="H17" s="31">
        <v>0.4</v>
      </c>
      <c r="I17" s="31">
        <v>0.4</v>
      </c>
      <c r="J17" s="31">
        <v>0.4</v>
      </c>
      <c r="K17" s="31">
        <v>0.4</v>
      </c>
      <c r="L17" s="31">
        <v>0.4</v>
      </c>
      <c r="M17" s="31">
        <v>0.4</v>
      </c>
      <c r="N17" s="31">
        <v>0.4</v>
      </c>
      <c r="O17" s="31">
        <v>0.4</v>
      </c>
      <c r="P17" s="31">
        <v>0.4</v>
      </c>
      <c r="Q17" s="12">
        <f t="shared" si="1"/>
        <v>4.8</v>
      </c>
      <c r="R17" s="13">
        <f>IF($B17="",0,IFERROR(Q17*INDEX(사업정보!$F$6:$F$35,MATCH($C17,사업정보!$A$6:$A$35,0))/INDEX(사업정보!$I$6:$I$35,MATCH($C17,사업정보!$A$6:$A$35,0)),0))</f>
        <v>0</v>
      </c>
      <c r="S17" s="13">
        <f>IF($B17="",0,IFERROR(Q17*INDEX(사업정보!$G$6:$G$35,MATCH($C17,사업정보!$A$6:$A$35,0))/INDEX(사업정보!$I$6:$I$35,MATCH($C17,사업정보!$A$6:$A$35,0)),0))</f>
        <v>0</v>
      </c>
    </row>
    <row r="18" spans="1:19">
      <c r="A18" s="30" t="str">
        <f>IF($B18="","",IFERROR(INDEX(팀별분석!$R$9:$R$48,MATCH($B18,팀별분석!$Q$9:$Q$48,0)),"명단확인"))</f>
        <v>사업운영팀 기획1파트</v>
      </c>
      <c r="B18" s="7" t="s">
        <v>69</v>
      </c>
      <c r="C18" s="7" t="s">
        <v>33</v>
      </c>
      <c r="D18" s="30" t="str">
        <f>IF($C18="","",IFERROR(INDEX(사업정보!$B$6:$B$35,MATCH($C18,사업정보!$A$6:$A$35,0)),"사업명확인"))</f>
        <v>사업</v>
      </c>
      <c r="E18" s="31">
        <v>0.5</v>
      </c>
      <c r="F18" s="31">
        <v>0.5</v>
      </c>
      <c r="G18" s="31">
        <v>0.5</v>
      </c>
      <c r="H18" s="31">
        <v>0.5</v>
      </c>
      <c r="I18" s="31">
        <v>0.5</v>
      </c>
      <c r="J18" s="31">
        <v>0.5</v>
      </c>
      <c r="K18" s="31"/>
      <c r="L18" s="31"/>
      <c r="M18" s="31"/>
      <c r="N18" s="31"/>
      <c r="O18" s="31"/>
      <c r="P18" s="31"/>
      <c r="Q18" s="12">
        <f t="shared" si="1"/>
        <v>3</v>
      </c>
      <c r="R18" s="13">
        <f>IF($B18="",0,IFERROR(Q18*INDEX(사업정보!$F$6:$F$35,MATCH($C18,사업정보!$A$6:$A$35,0))/INDEX(사업정보!$I$6:$I$35,MATCH($C18,사업정보!$A$6:$A$35,0)),0))</f>
        <v>96875000</v>
      </c>
      <c r="S18" s="13">
        <f>IF($B18="",0,IFERROR(Q18*INDEX(사업정보!$G$6:$G$35,MATCH($C18,사업정보!$A$6:$A$35,0))/INDEX(사업정보!$I$6:$I$35,MATCH($C18,사업정보!$A$6:$A$35,0)),0))</f>
        <v>30000000</v>
      </c>
    </row>
    <row r="19" spans="1:19">
      <c r="A19" s="30" t="str">
        <f>IF($B19="","",IFERROR(INDEX(팀별분석!$R$9:$R$48,MATCH($B19,팀별분석!$Q$9:$Q$48,0)),"명단확인"))</f>
        <v>사업운영팀 기획1파트</v>
      </c>
      <c r="B19" s="7" t="s">
        <v>69</v>
      </c>
      <c r="C19" s="7" t="s">
        <v>45</v>
      </c>
      <c r="D19" s="30" t="str">
        <f>IF($C19="","",IFERROR(INDEX(사업정보!$B$6:$B$35,MATCH($C19,사업정보!$A$6:$A$35,0)),"사업명확인"))</f>
        <v>지원</v>
      </c>
      <c r="E19" s="31"/>
      <c r="F19" s="31"/>
      <c r="G19" s="31"/>
      <c r="H19" s="31"/>
      <c r="I19" s="31"/>
      <c r="J19" s="31"/>
      <c r="K19" s="31">
        <v>0.3</v>
      </c>
      <c r="L19" s="31">
        <v>0.3</v>
      </c>
      <c r="M19" s="31">
        <v>0.3</v>
      </c>
      <c r="N19" s="31">
        <v>0.3</v>
      </c>
      <c r="O19" s="31">
        <v>0.3</v>
      </c>
      <c r="P19" s="31">
        <v>0.3</v>
      </c>
      <c r="Q19" s="12">
        <f t="shared" si="1"/>
        <v>1.8</v>
      </c>
      <c r="R19" s="13">
        <f>IF($B19="",0,IFERROR(Q19*INDEX(사업정보!$F$6:$F$35,MATCH($C19,사업정보!$A$6:$A$35,0))/INDEX(사업정보!$I$6:$I$35,MATCH($C19,사업정보!$A$6:$A$35,0)),0))</f>
        <v>0</v>
      </c>
      <c r="S19" s="13">
        <f>IF($B19="",0,IFERROR(Q19*INDEX(사업정보!$G$6:$G$35,MATCH($C19,사업정보!$A$6:$A$35,0))/INDEX(사업정보!$I$6:$I$35,MATCH($C19,사업정보!$A$6:$A$35,0)),0))</f>
        <v>0</v>
      </c>
    </row>
    <row r="20" spans="1:19">
      <c r="A20" s="30" t="str">
        <f>IF($B20="","",IFERROR(INDEX(팀별분석!$R$9:$R$48,MATCH($B20,팀별분석!$Q$9:$Q$48,0)),"명단확인"))</f>
        <v>사업운영팀 기획1파트</v>
      </c>
      <c r="B20" s="7" t="s">
        <v>70</v>
      </c>
      <c r="C20" s="7" t="s">
        <v>42</v>
      </c>
      <c r="D20" s="30" t="str">
        <f>IF($C20="","",IFERROR(INDEX(사업정보!$B$6:$B$35,MATCH($C20,사업정보!$A$6:$A$35,0)),"사업명확인"))</f>
        <v>운영</v>
      </c>
      <c r="E20" s="31">
        <v>0.5</v>
      </c>
      <c r="F20" s="31">
        <v>0.5</v>
      </c>
      <c r="G20" s="31">
        <v>0.5</v>
      </c>
      <c r="H20" s="31">
        <v>0.5</v>
      </c>
      <c r="I20" s="31">
        <v>0.5</v>
      </c>
      <c r="J20" s="31">
        <v>0.5</v>
      </c>
      <c r="K20" s="31">
        <v>0.5</v>
      </c>
      <c r="L20" s="31">
        <v>0.5</v>
      </c>
      <c r="M20" s="31">
        <v>0.5</v>
      </c>
      <c r="N20" s="31">
        <v>0.5</v>
      </c>
      <c r="O20" s="31">
        <v>0.5</v>
      </c>
      <c r="P20" s="31">
        <v>0.5</v>
      </c>
      <c r="Q20" s="12">
        <f t="shared" si="1"/>
        <v>6</v>
      </c>
      <c r="R20" s="13">
        <f>IF($B20="",0,IFERROR(Q20*INDEX(사업정보!$F$6:$F$35,MATCH($C20,사업정보!$A$6:$A$35,0))/INDEX(사업정보!$I$6:$I$35,MATCH($C20,사업정보!$A$6:$A$35,0)),0))</f>
        <v>0</v>
      </c>
      <c r="S20" s="13">
        <f>IF($B20="",0,IFERROR(Q20*INDEX(사업정보!$G$6:$G$35,MATCH($C20,사업정보!$A$6:$A$35,0))/INDEX(사업정보!$I$6:$I$35,MATCH($C20,사업정보!$A$6:$A$35,0)),0))</f>
        <v>0</v>
      </c>
    </row>
    <row r="21" spans="1:19">
      <c r="A21" s="30" t="str">
        <f>IF($B21="","",IFERROR(INDEX(팀별분석!$R$9:$R$48,MATCH($B21,팀별분석!$Q$9:$Q$48,0)),"명단확인"))</f>
        <v>사업운영팀 기획1파트</v>
      </c>
      <c r="B21" s="7" t="s">
        <v>70</v>
      </c>
      <c r="C21" s="7" t="s">
        <v>30</v>
      </c>
      <c r="D21" s="30" t="str">
        <f>IF($C21="","",IFERROR(INDEX(사업정보!$B$6:$B$35,MATCH($C21,사업정보!$A$6:$A$35,0)),"사업명확인"))</f>
        <v>사업</v>
      </c>
      <c r="E21" s="31">
        <v>0.4</v>
      </c>
      <c r="F21" s="31">
        <v>0.6</v>
      </c>
      <c r="G21" s="31">
        <v>0.6</v>
      </c>
      <c r="H21" s="31">
        <v>0.6</v>
      </c>
      <c r="I21" s="31">
        <v>0.6</v>
      </c>
      <c r="J21" s="31"/>
      <c r="K21" s="31"/>
      <c r="L21" s="31"/>
      <c r="M21" s="31"/>
      <c r="N21" s="31"/>
      <c r="O21" s="31"/>
      <c r="P21" s="31"/>
      <c r="Q21" s="12">
        <f t="shared" si="1"/>
        <v>2.8000000000000003</v>
      </c>
      <c r="R21" s="13">
        <f>IF($B21="",0,IFERROR(Q21*INDEX(사업정보!$F$6:$F$35,MATCH($C21,사업정보!$A$6:$A$35,0))/INDEX(사업정보!$I$6:$I$35,MATCH($C21,사업정보!$A$6:$A$35,0)),0))</f>
        <v>114174757.28155339</v>
      </c>
      <c r="S21" s="13">
        <f>IF($B21="",0,IFERROR(Q21*INDEX(사업정보!$G$6:$G$35,MATCH($C21,사업정보!$A$6:$A$35,0))/INDEX(사업정보!$I$6:$I$35,MATCH($C21,사업정보!$A$6:$A$35,0)),0))</f>
        <v>34252427.184466019</v>
      </c>
    </row>
    <row r="22" spans="1:19">
      <c r="A22" s="30" t="str">
        <f>IF($B22="","",IFERROR(INDEX(팀별분석!$R$9:$R$48,MATCH($B22,팀별분석!$Q$9:$Q$48,0)),"명단확인"))</f>
        <v>사업운영팀 기획1파트</v>
      </c>
      <c r="B22" s="7" t="s">
        <v>70</v>
      </c>
      <c r="C22" s="7" t="s">
        <v>32</v>
      </c>
      <c r="D22" s="30" t="str">
        <f>IF($C22="","",IFERROR(INDEX(사업정보!$B$6:$B$35,MATCH($C22,사업정보!$A$6:$A$35,0)),"사업명확인"))</f>
        <v>사업</v>
      </c>
      <c r="E22" s="31"/>
      <c r="F22" s="31"/>
      <c r="G22" s="31"/>
      <c r="H22" s="31"/>
      <c r="I22" s="31"/>
      <c r="J22" s="31"/>
      <c r="K22" s="31">
        <v>0.5</v>
      </c>
      <c r="L22" s="31">
        <v>0.5</v>
      </c>
      <c r="M22" s="31">
        <v>0.5</v>
      </c>
      <c r="N22" s="31">
        <v>0.5</v>
      </c>
      <c r="O22" s="31">
        <v>0.5</v>
      </c>
      <c r="P22" s="31">
        <v>0.5</v>
      </c>
      <c r="Q22" s="12">
        <f t="shared" si="1"/>
        <v>3</v>
      </c>
      <c r="R22" s="13">
        <f>IF($B22="",0,IFERROR(Q22*INDEX(사업정보!$F$6:$F$35,MATCH($C22,사업정보!$A$6:$A$35,0))/INDEX(사업정보!$I$6:$I$35,MATCH($C22,사업정보!$A$6:$A$35,0)),0))</f>
        <v>92857142.857142851</v>
      </c>
      <c r="S22" s="13">
        <f>IF($B22="",0,IFERROR(Q22*INDEX(사업정보!$G$6:$G$35,MATCH($C22,사업정보!$A$6:$A$35,0))/INDEX(사업정보!$I$6:$I$35,MATCH($C22,사업정보!$A$6:$A$35,0)),0))</f>
        <v>25000000</v>
      </c>
    </row>
    <row r="23" spans="1:19">
      <c r="A23" s="30" t="str">
        <f>IF($B23="","",IFERROR(INDEX(팀별분석!$R$9:$R$48,MATCH($B23,팀별분석!$Q$9:$Q$48,0)),"명단확인"))</f>
        <v>사업운영팀 기획2파트</v>
      </c>
      <c r="B23" s="7" t="s">
        <v>71</v>
      </c>
      <c r="C23" s="7" t="s">
        <v>34</v>
      </c>
      <c r="D23" s="30" t="str">
        <f>IF($C23="","",IFERROR(INDEX(사업정보!$B$6:$B$35,MATCH($C23,사업정보!$A$6:$A$35,0)),"사업명확인"))</f>
        <v>사업</v>
      </c>
      <c r="E23" s="31"/>
      <c r="F23" s="31"/>
      <c r="G23" s="31">
        <v>0.9</v>
      </c>
      <c r="H23" s="31">
        <v>0.9</v>
      </c>
      <c r="I23" s="31">
        <v>0.9</v>
      </c>
      <c r="J23" s="31">
        <v>0.9</v>
      </c>
      <c r="K23" s="31">
        <v>0.9</v>
      </c>
      <c r="L23" s="31"/>
      <c r="M23" s="31"/>
      <c r="N23" s="31"/>
      <c r="O23" s="31"/>
      <c r="P23" s="31"/>
      <c r="Q23" s="12">
        <f t="shared" si="1"/>
        <v>4.5</v>
      </c>
      <c r="R23" s="13">
        <f>IF($B23="",0,IFERROR(Q23*INDEX(사업정보!$F$6:$F$35,MATCH($C23,사업정보!$A$6:$A$35,0))/INDEX(사업정보!$I$6:$I$35,MATCH($C23,사업정보!$A$6:$A$35,0)),0))</f>
        <v>126000000</v>
      </c>
      <c r="S23" s="13">
        <f>IF($B23="",0,IFERROR(Q23*INDEX(사업정보!$G$6:$G$35,MATCH($C23,사업정보!$A$6:$A$35,0))/INDEX(사업정보!$I$6:$I$35,MATCH($C23,사업정보!$A$6:$A$35,0)),0))</f>
        <v>35100000</v>
      </c>
    </row>
    <row r="24" spans="1:19">
      <c r="A24" s="30" t="str">
        <f>IF($B24="","",IFERROR(INDEX(팀별분석!$R$9:$R$48,MATCH($B24,팀별분석!$Q$9:$Q$48,0)),"명단확인"))</f>
        <v>사업운영팀 기획2파트</v>
      </c>
      <c r="B24" s="7" t="s">
        <v>71</v>
      </c>
      <c r="C24" s="7" t="s">
        <v>43</v>
      </c>
      <c r="D24" s="30" t="str">
        <f>IF($C24="","",IFERROR(INDEX(사업정보!$B$6:$B$35,MATCH($C24,사업정보!$A$6:$A$35,0)),"사업명확인"))</f>
        <v>운영</v>
      </c>
      <c r="E24" s="31">
        <v>0.4</v>
      </c>
      <c r="F24" s="31">
        <v>0.4</v>
      </c>
      <c r="G24" s="31"/>
      <c r="H24" s="31"/>
      <c r="I24" s="31"/>
      <c r="J24" s="31"/>
      <c r="K24" s="31"/>
      <c r="L24" s="31">
        <v>0.5</v>
      </c>
      <c r="M24" s="31">
        <v>0.5</v>
      </c>
      <c r="N24" s="31">
        <v>0.5</v>
      </c>
      <c r="O24" s="31">
        <v>0.5</v>
      </c>
      <c r="P24" s="31">
        <v>0.5</v>
      </c>
      <c r="Q24" s="12">
        <f t="shared" si="1"/>
        <v>3.3</v>
      </c>
      <c r="R24" s="13">
        <f>IF($B24="",0,IFERROR(Q24*INDEX(사업정보!$F$6:$F$35,MATCH($C24,사업정보!$A$6:$A$35,0))/INDEX(사업정보!$I$6:$I$35,MATCH($C24,사업정보!$A$6:$A$35,0)),0))</f>
        <v>0</v>
      </c>
      <c r="S24" s="13">
        <f>IF($B24="",0,IFERROR(Q24*INDEX(사업정보!$G$6:$G$35,MATCH($C24,사업정보!$A$6:$A$35,0))/INDEX(사업정보!$I$6:$I$35,MATCH($C24,사업정보!$A$6:$A$35,0)),0))</f>
        <v>0</v>
      </c>
    </row>
    <row r="25" spans="1:19">
      <c r="A25" s="30" t="str">
        <f>IF($B25="","",IFERROR(INDEX(팀별분석!$R$9:$R$48,MATCH($B25,팀별분석!$Q$9:$Q$48,0)),"명단확인"))</f>
        <v>사업운영팀 기획2파트</v>
      </c>
      <c r="B25" s="7" t="s">
        <v>72</v>
      </c>
      <c r="C25" s="7" t="s">
        <v>34</v>
      </c>
      <c r="D25" s="30" t="str">
        <f>IF($C25="","",IFERROR(INDEX(사업정보!$B$6:$B$35,MATCH($C25,사업정보!$A$6:$A$35,0)),"사업명확인"))</f>
        <v>사업</v>
      </c>
      <c r="E25" s="31"/>
      <c r="F25" s="31"/>
      <c r="G25" s="31">
        <v>0.8</v>
      </c>
      <c r="H25" s="31">
        <v>0.8</v>
      </c>
      <c r="I25" s="31">
        <v>0.8</v>
      </c>
      <c r="J25" s="31">
        <v>0.8</v>
      </c>
      <c r="K25" s="31">
        <v>0.8</v>
      </c>
      <c r="L25" s="31"/>
      <c r="M25" s="31"/>
      <c r="N25" s="31"/>
      <c r="O25" s="31"/>
      <c r="P25" s="31"/>
      <c r="Q25" s="12">
        <f t="shared" si="1"/>
        <v>4</v>
      </c>
      <c r="R25" s="13">
        <f>IF($B25="",0,IFERROR(Q25*INDEX(사업정보!$F$6:$F$35,MATCH($C25,사업정보!$A$6:$A$35,0))/INDEX(사업정보!$I$6:$I$35,MATCH($C25,사업정보!$A$6:$A$35,0)),0))</f>
        <v>112000000</v>
      </c>
      <c r="S25" s="13">
        <f>IF($B25="",0,IFERROR(Q25*INDEX(사업정보!$G$6:$G$35,MATCH($C25,사업정보!$A$6:$A$35,0))/INDEX(사업정보!$I$6:$I$35,MATCH($C25,사업정보!$A$6:$A$35,0)),0))</f>
        <v>31200000</v>
      </c>
    </row>
    <row r="26" spans="1:19">
      <c r="A26" s="30" t="str">
        <f>IF($B26="","",IFERROR(INDEX(팀별분석!$R$9:$R$48,MATCH($B26,팀별분석!$Q$9:$Q$48,0)),"명단확인"))</f>
        <v>사업운영팀 기획2파트</v>
      </c>
      <c r="B26" s="7" t="s">
        <v>72</v>
      </c>
      <c r="C26" s="7" t="s">
        <v>35</v>
      </c>
      <c r="D26" s="30" t="str">
        <f>IF($C26="","",IFERROR(INDEX(사업정보!$B$6:$B$35,MATCH($C26,사업정보!$A$6:$A$35,0)),"사업명확인"))</f>
        <v>사업</v>
      </c>
      <c r="E26" s="31">
        <v>0.3</v>
      </c>
      <c r="F26" s="31">
        <v>0.3</v>
      </c>
      <c r="G26" s="31">
        <v>0.3</v>
      </c>
      <c r="H26" s="31">
        <v>0.3</v>
      </c>
      <c r="I26" s="31">
        <v>0.3</v>
      </c>
      <c r="J26" s="31">
        <v>0.3</v>
      </c>
      <c r="K26" s="31"/>
      <c r="L26" s="31"/>
      <c r="M26" s="31"/>
      <c r="N26" s="31"/>
      <c r="O26" s="31"/>
      <c r="P26" s="31"/>
      <c r="Q26" s="12">
        <f t="shared" si="1"/>
        <v>1.8</v>
      </c>
      <c r="R26" s="13">
        <f>IF($B26="",0,IFERROR(Q26*INDEX(사업정보!$F$6:$F$35,MATCH($C26,사업정보!$A$6:$A$35,0))/INDEX(사업정보!$I$6:$I$35,MATCH($C26,사업정보!$A$6:$A$35,0)),0))</f>
        <v>28124999.999999996</v>
      </c>
      <c r="S26" s="13">
        <f>IF($B26="",0,IFERROR(Q26*INDEX(사업정보!$G$6:$G$35,MATCH($C26,사업정보!$A$6:$A$35,0))/INDEX(사업정보!$I$6:$I$35,MATCH($C26,사업정보!$A$6:$A$35,0)),0))</f>
        <v>7124999.9999999991</v>
      </c>
    </row>
    <row r="27" spans="1:19">
      <c r="A27" s="30" t="str">
        <f>IF($B27="","",IFERROR(INDEX(팀별분석!$R$9:$R$48,MATCH($B27,팀별분석!$Q$9:$Q$48,0)),"명단확인"))</f>
        <v>사업운영팀 기획2파트</v>
      </c>
      <c r="B27" s="7" t="s">
        <v>73</v>
      </c>
      <c r="C27" s="7" t="s">
        <v>41</v>
      </c>
      <c r="D27" s="30" t="str">
        <f>IF($C27="","",IFERROR(INDEX(사업정보!$B$6:$B$35,MATCH($C27,사업정보!$A$6:$A$35,0)),"사업명확인"))</f>
        <v>운영</v>
      </c>
      <c r="E27" s="31">
        <v>0.3</v>
      </c>
      <c r="F27" s="31">
        <v>0.3</v>
      </c>
      <c r="G27" s="31">
        <v>0.3</v>
      </c>
      <c r="H27" s="31">
        <v>0.3</v>
      </c>
      <c r="I27" s="31">
        <v>0.3</v>
      </c>
      <c r="J27" s="31">
        <v>0.3</v>
      </c>
      <c r="K27" s="31">
        <v>0.3</v>
      </c>
      <c r="L27" s="31">
        <v>0.3</v>
      </c>
      <c r="M27" s="31">
        <v>0.3</v>
      </c>
      <c r="N27" s="31">
        <v>0.3</v>
      </c>
      <c r="O27" s="31">
        <v>0.3</v>
      </c>
      <c r="P27" s="31">
        <v>0.3</v>
      </c>
      <c r="Q27" s="12">
        <f t="shared" si="1"/>
        <v>3.5999999999999992</v>
      </c>
      <c r="R27" s="13">
        <f>IF($B27="",0,IFERROR(Q27*INDEX(사업정보!$F$6:$F$35,MATCH($C27,사업정보!$A$6:$A$35,0))/INDEX(사업정보!$I$6:$I$35,MATCH($C27,사업정보!$A$6:$A$35,0)),0))</f>
        <v>0</v>
      </c>
      <c r="S27" s="13">
        <f>IF($B27="",0,IFERROR(Q27*INDEX(사업정보!$G$6:$G$35,MATCH($C27,사업정보!$A$6:$A$35,0))/INDEX(사업정보!$I$6:$I$35,MATCH($C27,사업정보!$A$6:$A$35,0)),0))</f>
        <v>0</v>
      </c>
    </row>
    <row r="28" spans="1:19">
      <c r="A28" s="30" t="str">
        <f>IF($B28="","",IFERROR(INDEX(팀별분석!$R$9:$R$48,MATCH($B28,팀별분석!$Q$9:$Q$48,0)),"명단확인"))</f>
        <v>사업운영팀 기획2파트</v>
      </c>
      <c r="B28" s="7" t="s">
        <v>73</v>
      </c>
      <c r="C28" s="7" t="s">
        <v>35</v>
      </c>
      <c r="D28" s="30" t="str">
        <f>IF($C28="","",IFERROR(INDEX(사업정보!$B$6:$B$35,MATCH($C28,사업정보!$A$6:$A$35,0)),"사업명확인"))</f>
        <v>사업</v>
      </c>
      <c r="E28" s="31">
        <v>0.6</v>
      </c>
      <c r="F28" s="31">
        <v>0.6</v>
      </c>
      <c r="G28" s="31">
        <v>0.6</v>
      </c>
      <c r="H28" s="31">
        <v>0.6</v>
      </c>
      <c r="I28" s="31">
        <v>0.6</v>
      </c>
      <c r="J28" s="31">
        <v>0.6</v>
      </c>
      <c r="K28" s="31"/>
      <c r="L28" s="31"/>
      <c r="M28" s="31"/>
      <c r="N28" s="31"/>
      <c r="O28" s="31"/>
      <c r="P28" s="31"/>
      <c r="Q28" s="12">
        <f t="shared" si="1"/>
        <v>3.6</v>
      </c>
      <c r="R28" s="13">
        <f>IF($B28="",0,IFERROR(Q28*INDEX(사업정보!$F$6:$F$35,MATCH($C28,사업정보!$A$6:$A$35,0))/INDEX(사업정보!$I$6:$I$35,MATCH($C28,사업정보!$A$6:$A$35,0)),0))</f>
        <v>56249999.999999993</v>
      </c>
      <c r="S28" s="13">
        <f>IF($B28="",0,IFERROR(Q28*INDEX(사업정보!$G$6:$G$35,MATCH($C28,사업정보!$A$6:$A$35,0))/INDEX(사업정보!$I$6:$I$35,MATCH($C28,사업정보!$A$6:$A$35,0)),0))</f>
        <v>14249999.999999998</v>
      </c>
    </row>
    <row r="29" spans="1:19">
      <c r="A29" s="30" t="str">
        <f>IF($B29="","",IFERROR(INDEX(팀별분석!$R$9:$R$48,MATCH($B29,팀별분석!$Q$9:$Q$48,0)),"명단확인"))</f>
        <v>사업운영팀 기획2파트</v>
      </c>
      <c r="B29" s="7" t="s">
        <v>74</v>
      </c>
      <c r="C29" s="7" t="s">
        <v>35</v>
      </c>
      <c r="D29" s="30" t="str">
        <f>IF($C29="","",IFERROR(INDEX(사업정보!$B$6:$B$35,MATCH($C29,사업정보!$A$6:$A$35,0)),"사업명확인"))</f>
        <v>사업</v>
      </c>
      <c r="E29" s="31">
        <v>0.7</v>
      </c>
      <c r="F29" s="31">
        <v>0.7</v>
      </c>
      <c r="G29" s="31">
        <v>0.7</v>
      </c>
      <c r="H29" s="31">
        <v>0.7</v>
      </c>
      <c r="I29" s="31">
        <v>0.7</v>
      </c>
      <c r="J29" s="31">
        <v>0.7</v>
      </c>
      <c r="K29" s="31"/>
      <c r="L29" s="31"/>
      <c r="M29" s="31"/>
      <c r="N29" s="31"/>
      <c r="O29" s="31"/>
      <c r="P29" s="31"/>
      <c r="Q29" s="12">
        <f t="shared" si="1"/>
        <v>4.2</v>
      </c>
      <c r="R29" s="13">
        <f>IF($B29="",0,IFERROR(Q29*INDEX(사업정보!$F$6:$F$35,MATCH($C29,사업정보!$A$6:$A$35,0))/INDEX(사업정보!$I$6:$I$35,MATCH($C29,사업정보!$A$6:$A$35,0)),0))</f>
        <v>65624999.999999993</v>
      </c>
      <c r="S29" s="13">
        <f>IF($B29="",0,IFERROR(Q29*INDEX(사업정보!$G$6:$G$35,MATCH($C29,사업정보!$A$6:$A$35,0))/INDEX(사업정보!$I$6:$I$35,MATCH($C29,사업정보!$A$6:$A$35,0)),0))</f>
        <v>16624999.999999998</v>
      </c>
    </row>
    <row r="30" spans="1:19">
      <c r="A30" s="30" t="str">
        <f>IF($B30="","",IFERROR(INDEX(팀별분석!$R$9:$R$48,MATCH($B30,팀별분석!$Q$9:$Q$48,0)),"명단확인"))</f>
        <v>사업운영팀 기획2파트</v>
      </c>
      <c r="B30" s="7" t="s">
        <v>74</v>
      </c>
      <c r="C30" s="7" t="s">
        <v>34</v>
      </c>
      <c r="D30" s="30" t="str">
        <f>IF($C30="","",IFERROR(INDEX(사업정보!$B$6:$B$35,MATCH($C30,사업정보!$A$6:$A$35,0)),"사업명확인"))</f>
        <v>사업</v>
      </c>
      <c r="E30" s="31"/>
      <c r="F30" s="31"/>
      <c r="G30" s="31">
        <v>0.3</v>
      </c>
      <c r="H30" s="31">
        <v>0.3</v>
      </c>
      <c r="I30" s="31">
        <v>0.3</v>
      </c>
      <c r="J30" s="31">
        <v>0.3</v>
      </c>
      <c r="K30" s="31">
        <v>0.3</v>
      </c>
      <c r="L30" s="31"/>
      <c r="M30" s="31"/>
      <c r="N30" s="31"/>
      <c r="O30" s="31"/>
      <c r="P30" s="31"/>
      <c r="Q30" s="12">
        <f t="shared" si="1"/>
        <v>1.5</v>
      </c>
      <c r="R30" s="13">
        <f>IF($B30="",0,IFERROR(Q30*INDEX(사업정보!$F$6:$F$35,MATCH($C30,사업정보!$A$6:$A$35,0))/INDEX(사업정보!$I$6:$I$35,MATCH($C30,사업정보!$A$6:$A$35,0)),0))</f>
        <v>42000000</v>
      </c>
      <c r="S30" s="13">
        <f>IF($B30="",0,IFERROR(Q30*INDEX(사업정보!$G$6:$G$35,MATCH($C30,사업정보!$A$6:$A$35,0))/INDEX(사업정보!$I$6:$I$35,MATCH($C30,사업정보!$A$6:$A$35,0)),0))</f>
        <v>11700000</v>
      </c>
    </row>
    <row r="31" spans="1:19">
      <c r="A31" s="30" t="str">
        <f>IF($B31="","",IFERROR(INDEX(팀별분석!$R$9:$R$48,MATCH($B31,팀별분석!$Q$9:$Q$48,0)),"명단확인"))</f>
        <v>신사업팀</v>
      </c>
      <c r="B31" s="7" t="s">
        <v>75</v>
      </c>
      <c r="C31" s="7" t="s">
        <v>36</v>
      </c>
      <c r="D31" s="30" t="str">
        <f>IF($C31="","",IFERROR(INDEX(사업정보!$B$6:$B$35,MATCH($C31,사업정보!$A$6:$A$35,0)),"사업명확인"))</f>
        <v>사업</v>
      </c>
      <c r="E31" s="31">
        <v>0.6</v>
      </c>
      <c r="F31" s="31">
        <v>0.6</v>
      </c>
      <c r="G31" s="31">
        <v>0.6</v>
      </c>
      <c r="H31" s="31">
        <v>0.6</v>
      </c>
      <c r="I31" s="31"/>
      <c r="J31" s="31"/>
      <c r="K31" s="31"/>
      <c r="L31" s="31"/>
      <c r="M31" s="31"/>
      <c r="N31" s="31"/>
      <c r="O31" s="31"/>
      <c r="P31" s="31"/>
      <c r="Q31" s="12">
        <f t="shared" si="1"/>
        <v>2.4</v>
      </c>
      <c r="R31" s="13">
        <f>IF($B31="",0,IFERROR(Q31*INDEX(사업정보!$F$6:$F$35,MATCH($C31,사업정보!$A$6:$A$35,0))/INDEX(사업정보!$I$6:$I$35,MATCH($C31,사업정보!$A$6:$A$35,0)),0))</f>
        <v>32727272.727272723</v>
      </c>
      <c r="S31" s="13">
        <f>IF($B31="",0,IFERROR(Q31*INDEX(사업정보!$G$6:$G$35,MATCH($C31,사업정보!$A$6:$A$35,0))/INDEX(사업정보!$I$6:$I$35,MATCH($C31,사업정보!$A$6:$A$35,0)),0))</f>
        <v>6545454.5454545449</v>
      </c>
    </row>
    <row r="32" spans="1:19">
      <c r="A32" s="30" t="str">
        <f>IF($B32="","",IFERROR(INDEX(팀별분석!$R$9:$R$48,MATCH($B32,팀별분석!$Q$9:$Q$48,0)),"명단확인"))</f>
        <v>신사업팀</v>
      </c>
      <c r="B32" s="7" t="s">
        <v>75</v>
      </c>
      <c r="C32" s="7" t="s">
        <v>37</v>
      </c>
      <c r="D32" s="30" t="str">
        <f>IF($C32="","",IFERROR(INDEX(사업정보!$B$6:$B$35,MATCH($C32,사업정보!$A$6:$A$35,0)),"사업명확인"))</f>
        <v>사업</v>
      </c>
      <c r="E32" s="31"/>
      <c r="F32" s="31"/>
      <c r="G32" s="31"/>
      <c r="H32" s="31"/>
      <c r="I32" s="31">
        <v>0.5</v>
      </c>
      <c r="J32" s="31">
        <v>0.5</v>
      </c>
      <c r="K32" s="31">
        <v>0.5</v>
      </c>
      <c r="L32" s="31">
        <v>0.5</v>
      </c>
      <c r="M32" s="31">
        <v>0.5</v>
      </c>
      <c r="N32" s="31">
        <v>0.5</v>
      </c>
      <c r="O32" s="31">
        <v>0.5</v>
      </c>
      <c r="P32" s="31">
        <v>0.5</v>
      </c>
      <c r="Q32" s="12">
        <f t="shared" si="1"/>
        <v>4</v>
      </c>
      <c r="R32" s="13">
        <f>IF($B32="",0,IFERROR(Q32*INDEX(사업정보!$F$6:$F$35,MATCH($C32,사업정보!$A$6:$A$35,0))/INDEX(사업정보!$I$6:$I$35,MATCH($C32,사업정보!$A$6:$A$35,0)),0))</f>
        <v>24324324.324324325</v>
      </c>
      <c r="S32" s="13">
        <f>IF($B32="",0,IFERROR(Q32*INDEX(사업정보!$G$6:$G$35,MATCH($C32,사업정보!$A$6:$A$35,0))/INDEX(사업정보!$I$6:$I$35,MATCH($C32,사업정보!$A$6:$A$35,0)),0))</f>
        <v>4864864.8648648653</v>
      </c>
    </row>
    <row r="33" spans="1:19">
      <c r="A33" s="30" t="str">
        <f>IF($B33="","",IFERROR(INDEX(팀별분석!$R$9:$R$48,MATCH($B33,팀별분석!$Q$9:$Q$48,0)),"명단확인"))</f>
        <v>신사업팀</v>
      </c>
      <c r="B33" s="7" t="s">
        <v>76</v>
      </c>
      <c r="C33" s="7" t="s">
        <v>48</v>
      </c>
      <c r="D33" s="30" t="str">
        <f>IF($C33="","",IFERROR(INDEX(사업정보!$B$6:$B$35,MATCH($C33,사업정보!$A$6:$A$35,0)),"사업명확인"))</f>
        <v>지원</v>
      </c>
      <c r="E33" s="31">
        <v>0.4</v>
      </c>
      <c r="F33" s="31">
        <v>0.4</v>
      </c>
      <c r="G33" s="31">
        <v>0.4</v>
      </c>
      <c r="H33" s="31">
        <v>0.4</v>
      </c>
      <c r="I33" s="31">
        <v>0.4</v>
      </c>
      <c r="J33" s="31">
        <v>0.4</v>
      </c>
      <c r="K33" s="31"/>
      <c r="L33" s="31"/>
      <c r="M33" s="31"/>
      <c r="N33" s="31"/>
      <c r="O33" s="31"/>
      <c r="P33" s="31"/>
      <c r="Q33" s="12">
        <f t="shared" si="1"/>
        <v>2.4</v>
      </c>
      <c r="R33" s="13">
        <f>IF($B33="",0,IFERROR(Q33*INDEX(사업정보!$F$6:$F$35,MATCH($C33,사업정보!$A$6:$A$35,0))/INDEX(사업정보!$I$6:$I$35,MATCH($C33,사업정보!$A$6:$A$35,0)),0))</f>
        <v>0</v>
      </c>
      <c r="S33" s="13">
        <f>IF($B33="",0,IFERROR(Q33*INDEX(사업정보!$G$6:$G$35,MATCH($C33,사업정보!$A$6:$A$35,0))/INDEX(사업정보!$I$6:$I$35,MATCH($C33,사업정보!$A$6:$A$35,0)),0))</f>
        <v>0</v>
      </c>
    </row>
    <row r="34" spans="1:19">
      <c r="A34" s="30" t="str">
        <f>IF($B34="","",IFERROR(INDEX(팀별분석!$R$9:$R$48,MATCH($B34,팀별분석!$Q$9:$Q$48,0)),"명단확인"))</f>
        <v>신사업팀</v>
      </c>
      <c r="B34" s="7" t="s">
        <v>76</v>
      </c>
      <c r="C34" s="7" t="s">
        <v>36</v>
      </c>
      <c r="D34" s="30" t="str">
        <f>IF($C34="","",IFERROR(INDEX(사업정보!$B$6:$B$35,MATCH($C34,사업정보!$A$6:$A$35,0)),"사업명확인"))</f>
        <v>사업</v>
      </c>
      <c r="E34" s="31">
        <v>0.5</v>
      </c>
      <c r="F34" s="31">
        <v>0.5</v>
      </c>
      <c r="G34" s="31">
        <v>0.5</v>
      </c>
      <c r="H34" s="31">
        <v>0.5</v>
      </c>
      <c r="I34" s="31"/>
      <c r="J34" s="31"/>
      <c r="K34" s="31"/>
      <c r="L34" s="31"/>
      <c r="M34" s="31"/>
      <c r="N34" s="31"/>
      <c r="O34" s="31"/>
      <c r="P34" s="31"/>
      <c r="Q34" s="12">
        <f t="shared" si="1"/>
        <v>2</v>
      </c>
      <c r="R34" s="13">
        <f>IF($B34="",0,IFERROR(Q34*INDEX(사업정보!$F$6:$F$35,MATCH($C34,사업정보!$A$6:$A$35,0))/INDEX(사업정보!$I$6:$I$35,MATCH($C34,사업정보!$A$6:$A$35,0)),0))</f>
        <v>27272727.27272727</v>
      </c>
      <c r="S34" s="13">
        <f>IF($B34="",0,IFERROR(Q34*INDEX(사업정보!$G$6:$G$35,MATCH($C34,사업정보!$A$6:$A$35,0))/INDEX(사업정보!$I$6:$I$35,MATCH($C34,사업정보!$A$6:$A$35,0)),0))</f>
        <v>5454545.4545454541</v>
      </c>
    </row>
    <row r="35" spans="1:19">
      <c r="A35" s="30" t="str">
        <f>IF($B35="","",IFERROR(INDEX(팀별분석!$R$9:$R$48,MATCH($B35,팀별분석!$Q$9:$Q$48,0)),"명단확인"))</f>
        <v>신사업팀</v>
      </c>
      <c r="B35" s="7" t="s">
        <v>77</v>
      </c>
      <c r="C35" s="7" t="s">
        <v>37</v>
      </c>
      <c r="D35" s="30" t="str">
        <f>IF($C35="","",IFERROR(INDEX(사업정보!$B$6:$B$35,MATCH($C35,사업정보!$A$6:$A$35,0)),"사업명확인"))</f>
        <v>사업</v>
      </c>
      <c r="E35" s="31">
        <v>0.6</v>
      </c>
      <c r="F35" s="31">
        <v>0.6</v>
      </c>
      <c r="G35" s="31">
        <v>0.6</v>
      </c>
      <c r="H35" s="31">
        <v>0.6</v>
      </c>
      <c r="I35" s="31">
        <v>0.6</v>
      </c>
      <c r="J35" s="31">
        <v>0.6</v>
      </c>
      <c r="K35" s="31">
        <v>0.6</v>
      </c>
      <c r="L35" s="31">
        <v>0.6</v>
      </c>
      <c r="M35" s="31">
        <v>0.6</v>
      </c>
      <c r="N35" s="31">
        <v>0.6</v>
      </c>
      <c r="O35" s="31">
        <v>0.6</v>
      </c>
      <c r="P35" s="31">
        <v>0.6</v>
      </c>
      <c r="Q35" s="12">
        <f t="shared" si="1"/>
        <v>7.1999999999999984</v>
      </c>
      <c r="R35" s="13">
        <f>IF($B35="",0,IFERROR(Q35*INDEX(사업정보!$F$6:$F$35,MATCH($C35,사업정보!$A$6:$A$35,0))/INDEX(사업정보!$I$6:$I$35,MATCH($C35,사업정보!$A$6:$A$35,0)),0))</f>
        <v>43783783.783783779</v>
      </c>
      <c r="S35" s="13">
        <f>IF($B35="",0,IFERROR(Q35*INDEX(사업정보!$G$6:$G$35,MATCH($C35,사업정보!$A$6:$A$35,0))/INDEX(사업정보!$I$6:$I$35,MATCH($C35,사업정보!$A$6:$A$35,0)),0))</f>
        <v>8756756.7567567546</v>
      </c>
    </row>
    <row r="36" spans="1:19">
      <c r="A36" s="30" t="str">
        <f>IF($B36="","",IFERROR(INDEX(팀별분석!$R$9:$R$48,MATCH($B36,팀별분석!$Q$9:$Q$48,0)),"명단확인"))</f>
        <v>경영본부 사업기획실</v>
      </c>
      <c r="B36" s="7" t="s">
        <v>78</v>
      </c>
      <c r="C36" s="7" t="s">
        <v>49</v>
      </c>
      <c r="D36" s="30" t="str">
        <f>IF($C36="","",IFERROR(INDEX(사업정보!$B$6:$B$35,MATCH($C36,사업정보!$A$6:$A$35,0)),"사업명확인"))</f>
        <v>지원</v>
      </c>
      <c r="E36" s="31">
        <v>0.5</v>
      </c>
      <c r="F36" s="31">
        <v>0.5</v>
      </c>
      <c r="G36" s="31">
        <v>0.3</v>
      </c>
      <c r="H36" s="31">
        <v>0.3</v>
      </c>
      <c r="I36" s="31">
        <v>0.3</v>
      </c>
      <c r="J36" s="31">
        <v>0.3</v>
      </c>
      <c r="K36" s="31">
        <v>0.5</v>
      </c>
      <c r="L36" s="31">
        <v>0.5</v>
      </c>
      <c r="M36" s="31">
        <v>0.5</v>
      </c>
      <c r="N36" s="31">
        <v>0.7</v>
      </c>
      <c r="O36" s="31">
        <v>0.8</v>
      </c>
      <c r="P36" s="31">
        <v>0.8</v>
      </c>
      <c r="Q36" s="12">
        <f t="shared" si="1"/>
        <v>6</v>
      </c>
      <c r="R36" s="13">
        <f>IF($B36="",0,IFERROR(Q36*INDEX(사업정보!$F$6:$F$35,MATCH($C36,사업정보!$A$6:$A$35,0))/INDEX(사업정보!$I$6:$I$35,MATCH($C36,사업정보!$A$6:$A$35,0)),0))</f>
        <v>0</v>
      </c>
      <c r="S36" s="13">
        <f>IF($B36="",0,IFERROR(Q36*INDEX(사업정보!$G$6:$G$35,MATCH($C36,사업정보!$A$6:$A$35,0))/INDEX(사업정보!$I$6:$I$35,MATCH($C36,사업정보!$A$6:$A$35,0)),0))</f>
        <v>0</v>
      </c>
    </row>
    <row r="37" spans="1:19">
      <c r="A37" s="30" t="str">
        <f>IF($B37="","",IFERROR(INDEX(팀별분석!$R$9:$R$48,MATCH($B37,팀별분석!$Q$9:$Q$48,0)),"명단확인"))</f>
        <v>경영본부 사업기획실</v>
      </c>
      <c r="B37" s="7" t="s">
        <v>78</v>
      </c>
      <c r="C37" s="7" t="s">
        <v>38</v>
      </c>
      <c r="D37" s="30" t="str">
        <f>IF($C37="","",IFERROR(INDEX(사업정보!$B$6:$B$35,MATCH($C37,사업정보!$A$6:$A$35,0)),"사업명확인"))</f>
        <v>사업</v>
      </c>
      <c r="E37" s="31">
        <v>0.3</v>
      </c>
      <c r="F37" s="31">
        <v>0.3</v>
      </c>
      <c r="G37" s="31">
        <v>0.3</v>
      </c>
      <c r="H37" s="31">
        <v>0.3</v>
      </c>
      <c r="I37" s="31">
        <v>0.3</v>
      </c>
      <c r="J37" s="31">
        <v>0.3</v>
      </c>
      <c r="K37" s="31">
        <v>0.3</v>
      </c>
      <c r="L37" s="31">
        <v>0.3</v>
      </c>
      <c r="M37" s="31">
        <v>0.3</v>
      </c>
      <c r="N37" s="31">
        <v>0.3</v>
      </c>
      <c r="O37" s="31">
        <v>0.3</v>
      </c>
      <c r="P37" s="31">
        <v>0.3</v>
      </c>
      <c r="Q37" s="12">
        <f t="shared" si="1"/>
        <v>3.5999999999999992</v>
      </c>
      <c r="R37" s="13">
        <f>IF($B37="",0,IFERROR(Q37*INDEX(사업정보!$F$6:$F$35,MATCH($C37,사업정보!$A$6:$A$35,0))/INDEX(사업정보!$I$6:$I$35,MATCH($C37,사업정보!$A$6:$A$35,0)),0))</f>
        <v>23333333.333333336</v>
      </c>
      <c r="S37" s="13">
        <f>IF($B37="",0,IFERROR(Q37*INDEX(사업정보!$G$6:$G$35,MATCH($C37,사업정보!$A$6:$A$35,0))/INDEX(사업정보!$I$6:$I$35,MATCH($C37,사업정보!$A$6:$A$35,0)),0))</f>
        <v>3333333.3333333335</v>
      </c>
    </row>
    <row r="38" spans="1:19">
      <c r="A38" s="30" t="str">
        <f>IF($B38="","",IFERROR(INDEX(팀별분석!$R$9:$R$48,MATCH($B38,팀별분석!$Q$9:$Q$48,0)),"명단확인"))</f>
        <v>경영본부 사업기획실</v>
      </c>
      <c r="B38" s="7" t="s">
        <v>79</v>
      </c>
      <c r="C38" s="7" t="s">
        <v>44</v>
      </c>
      <c r="D38" s="30" t="str">
        <f>IF($C38="","",IFERROR(INDEX(사업정보!$B$6:$B$35,MATCH($C38,사업정보!$A$6:$A$35,0)),"사업명확인"))</f>
        <v>운영</v>
      </c>
      <c r="E38" s="31">
        <v>0.5</v>
      </c>
      <c r="F38" s="31">
        <v>0.5</v>
      </c>
      <c r="G38" s="31">
        <v>0.5</v>
      </c>
      <c r="H38" s="31">
        <v>0.5</v>
      </c>
      <c r="I38" s="31">
        <v>0.5</v>
      </c>
      <c r="J38" s="31">
        <v>0.5</v>
      </c>
      <c r="K38" s="31">
        <v>0.5</v>
      </c>
      <c r="L38" s="31">
        <v>0.5</v>
      </c>
      <c r="M38" s="31">
        <v>0.5</v>
      </c>
      <c r="N38" s="31">
        <v>0.5</v>
      </c>
      <c r="O38" s="31">
        <v>0.5</v>
      </c>
      <c r="P38" s="31">
        <v>0.5</v>
      </c>
      <c r="Q38" s="12">
        <f t="shared" si="1"/>
        <v>6</v>
      </c>
      <c r="R38" s="13">
        <f>IF($B38="",0,IFERROR(Q38*INDEX(사업정보!$F$6:$F$35,MATCH($C38,사업정보!$A$6:$A$35,0))/INDEX(사업정보!$I$6:$I$35,MATCH($C38,사업정보!$A$6:$A$35,0)),0))</f>
        <v>0</v>
      </c>
      <c r="S38" s="13">
        <f>IF($B38="",0,IFERROR(Q38*INDEX(사업정보!$G$6:$G$35,MATCH($C38,사업정보!$A$6:$A$35,0))/INDEX(사업정보!$I$6:$I$35,MATCH($C38,사업정보!$A$6:$A$35,0)),0))</f>
        <v>0</v>
      </c>
    </row>
    <row r="39" spans="1:19">
      <c r="A39" s="30" t="str">
        <f>IF($B39="","",IFERROR(INDEX(팀별분석!$R$9:$R$48,MATCH($B39,팀별분석!$Q$9:$Q$48,0)),"명단확인"))</f>
        <v>경영본부 사업기획실</v>
      </c>
      <c r="B39" s="7" t="s">
        <v>79</v>
      </c>
      <c r="C39" s="7" t="s">
        <v>37</v>
      </c>
      <c r="D39" s="30" t="str">
        <f>IF($C39="","",IFERROR(INDEX(사업정보!$B$6:$B$35,MATCH($C39,사업정보!$A$6:$A$35,0)),"사업명확인"))</f>
        <v>사업</v>
      </c>
      <c r="E39" s="31">
        <v>0.3</v>
      </c>
      <c r="F39" s="31">
        <v>0.3</v>
      </c>
      <c r="G39" s="31">
        <v>0.3</v>
      </c>
      <c r="H39" s="31">
        <v>0.3</v>
      </c>
      <c r="I39" s="31">
        <v>0.3</v>
      </c>
      <c r="J39" s="31">
        <v>0.3</v>
      </c>
      <c r="K39" s="31">
        <v>0.3</v>
      </c>
      <c r="L39" s="31">
        <v>0.3</v>
      </c>
      <c r="M39" s="31">
        <v>0.3</v>
      </c>
      <c r="N39" s="31">
        <v>0.3</v>
      </c>
      <c r="O39" s="31">
        <v>0.3</v>
      </c>
      <c r="P39" s="31">
        <v>0.3</v>
      </c>
      <c r="Q39" s="12">
        <f t="shared" si="1"/>
        <v>3.5999999999999992</v>
      </c>
      <c r="R39" s="13">
        <f>IF($B39="",0,IFERROR(Q39*INDEX(사업정보!$F$6:$F$35,MATCH($C39,사업정보!$A$6:$A$35,0))/INDEX(사업정보!$I$6:$I$35,MATCH($C39,사업정보!$A$6:$A$35,0)),0))</f>
        <v>21891891.891891889</v>
      </c>
      <c r="S39" s="13">
        <f>IF($B39="",0,IFERROR(Q39*INDEX(사업정보!$G$6:$G$35,MATCH($C39,사업정보!$A$6:$A$35,0))/INDEX(사업정보!$I$6:$I$35,MATCH($C39,사업정보!$A$6:$A$35,0)),0))</f>
        <v>4378378.3783783773</v>
      </c>
    </row>
    <row r="40" spans="1:19">
      <c r="A40" s="30" t="str">
        <f>IF($B40="","",IFERROR(INDEX(팀별분석!$R$9:$R$48,MATCH($B40,팀별분석!$Q$9:$Q$48,0)),"명단확인"))</f>
        <v>경영본부 사업기획실</v>
      </c>
      <c r="B40" s="7" t="s">
        <v>80</v>
      </c>
      <c r="C40" s="7" t="s">
        <v>38</v>
      </c>
      <c r="D40" s="30" t="str">
        <f>IF($C40="","",IFERROR(INDEX(사업정보!$B$6:$B$35,MATCH($C40,사업정보!$A$6:$A$35,0)),"사업명확인"))</f>
        <v>사업</v>
      </c>
      <c r="E40" s="31">
        <v>0.6</v>
      </c>
      <c r="F40" s="31">
        <v>0.6</v>
      </c>
      <c r="G40" s="31">
        <v>0.6</v>
      </c>
      <c r="H40" s="31">
        <v>0.6</v>
      </c>
      <c r="I40" s="31">
        <v>0.6</v>
      </c>
      <c r="J40" s="31">
        <v>0.6</v>
      </c>
      <c r="K40" s="31">
        <v>0.6</v>
      </c>
      <c r="L40" s="31">
        <v>0.6</v>
      </c>
      <c r="M40" s="31">
        <v>0.6</v>
      </c>
      <c r="N40" s="31">
        <v>0.6</v>
      </c>
      <c r="O40" s="31">
        <v>0.6</v>
      </c>
      <c r="P40" s="31">
        <v>0.6</v>
      </c>
      <c r="Q40" s="12">
        <f t="shared" ref="Q40:Q71" si="2">IF($B40="",0,SUM(E40:P40))</f>
        <v>7.1999999999999984</v>
      </c>
      <c r="R40" s="13">
        <f>IF($B40="",0,IFERROR(Q40*INDEX(사업정보!$F$6:$F$35,MATCH($C40,사업정보!$A$6:$A$35,0))/INDEX(사업정보!$I$6:$I$35,MATCH($C40,사업정보!$A$6:$A$35,0)),0))</f>
        <v>46666666.666666672</v>
      </c>
      <c r="S40" s="13">
        <f>IF($B40="",0,IFERROR(Q40*INDEX(사업정보!$G$6:$G$35,MATCH($C40,사업정보!$A$6:$A$35,0))/INDEX(사업정보!$I$6:$I$35,MATCH($C40,사업정보!$A$6:$A$35,0)),0))</f>
        <v>6666666.666666667</v>
      </c>
    </row>
    <row r="41" spans="1:19">
      <c r="A41" s="30" t="str">
        <f>IF($B41="","",IFERROR(INDEX(팀별분석!$R$9:$R$48,MATCH($B41,팀별분석!$Q$9:$Q$48,0)),"명단확인"))</f>
        <v>경영본부 사업기획실</v>
      </c>
      <c r="B41" s="7" t="s">
        <v>80</v>
      </c>
      <c r="C41" s="7" t="s">
        <v>50</v>
      </c>
      <c r="D41" s="30" t="str">
        <f>IF($C41="","",IFERROR(INDEX(사업정보!$B$6:$B$35,MATCH($C41,사업정보!$A$6:$A$35,0)),"사업명확인"))</f>
        <v>지원</v>
      </c>
      <c r="E41" s="31"/>
      <c r="F41" s="31"/>
      <c r="G41" s="31"/>
      <c r="H41" s="31"/>
      <c r="I41" s="31"/>
      <c r="J41" s="31"/>
      <c r="K41" s="31"/>
      <c r="L41" s="31"/>
      <c r="M41" s="31"/>
      <c r="N41" s="31">
        <v>0.4</v>
      </c>
      <c r="O41" s="31">
        <v>0.4</v>
      </c>
      <c r="P41" s="31">
        <v>0.4</v>
      </c>
      <c r="Q41" s="12">
        <f t="shared" si="2"/>
        <v>1.2000000000000002</v>
      </c>
      <c r="R41" s="13">
        <f>IF($B41="",0,IFERROR(Q41*INDEX(사업정보!$F$6:$F$35,MATCH($C41,사업정보!$A$6:$A$35,0))/INDEX(사업정보!$I$6:$I$35,MATCH($C41,사업정보!$A$6:$A$35,0)),0))</f>
        <v>0</v>
      </c>
      <c r="S41" s="13">
        <f>IF($B41="",0,IFERROR(Q41*INDEX(사업정보!$G$6:$G$35,MATCH($C41,사업정보!$A$6:$A$35,0))/INDEX(사업정보!$I$6:$I$35,MATCH($C41,사업정보!$A$6:$A$35,0)),0))</f>
        <v>0</v>
      </c>
    </row>
    <row r="42" spans="1:19">
      <c r="A42" s="32" t="str">
        <f>IF($B42="","",IFERROR(INDEX(팀별분석!$R$9:$R$48,MATCH($B42,팀별분석!$Q$9:$Q$48,0)),"명단확인"))</f>
        <v/>
      </c>
      <c r="B42" s="14"/>
      <c r="C42" s="14"/>
      <c r="D42" s="32" t="str">
        <f>IF($C42="","",IFERROR(INDEX(사업정보!$B$6:$B$35,MATCH($C42,사업정보!$A$6:$A$35,0)),"사업명확인"))</f>
        <v/>
      </c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19">
        <f t="shared" si="2"/>
        <v>0</v>
      </c>
      <c r="R42" s="20">
        <f>IF($B42="",0,IFERROR(Q42*INDEX(사업정보!$F$6:$F$35,MATCH($C42,사업정보!$A$6:$A$35,0))/INDEX(사업정보!$I$6:$I$35,MATCH($C42,사업정보!$A$6:$A$35,0)),0))</f>
        <v>0</v>
      </c>
      <c r="S42" s="20">
        <f>IF($B42="",0,IFERROR(Q42*INDEX(사업정보!$G$6:$G$35,MATCH($C42,사업정보!$A$6:$A$35,0))/INDEX(사업정보!$I$6:$I$35,MATCH($C42,사업정보!$A$6:$A$35,0)),0))</f>
        <v>0</v>
      </c>
    </row>
    <row r="43" spans="1:19">
      <c r="A43" s="32" t="str">
        <f>IF($B43="","",IFERROR(INDEX(팀별분석!$R$9:$R$48,MATCH($B43,팀별분석!$Q$9:$Q$48,0)),"명단확인"))</f>
        <v/>
      </c>
      <c r="B43" s="14"/>
      <c r="C43" s="14"/>
      <c r="D43" s="32" t="str">
        <f>IF($C43="","",IFERROR(INDEX(사업정보!$B$6:$B$35,MATCH($C43,사업정보!$A$6:$A$35,0)),"사업명확인"))</f>
        <v/>
      </c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19">
        <f t="shared" si="2"/>
        <v>0</v>
      </c>
      <c r="R43" s="20">
        <f>IF($B43="",0,IFERROR(Q43*INDEX(사업정보!$F$6:$F$35,MATCH($C43,사업정보!$A$6:$A$35,0))/INDEX(사업정보!$I$6:$I$35,MATCH($C43,사업정보!$A$6:$A$35,0)),0))</f>
        <v>0</v>
      </c>
      <c r="S43" s="20">
        <f>IF($B43="",0,IFERROR(Q43*INDEX(사업정보!$G$6:$G$35,MATCH($C43,사업정보!$A$6:$A$35,0))/INDEX(사업정보!$I$6:$I$35,MATCH($C43,사업정보!$A$6:$A$35,0)),0))</f>
        <v>0</v>
      </c>
    </row>
    <row r="44" spans="1:19">
      <c r="A44" s="32" t="str">
        <f>IF($B44="","",IFERROR(INDEX(팀별분석!$R$9:$R$48,MATCH($B44,팀별분석!$Q$9:$Q$48,0)),"명단확인"))</f>
        <v/>
      </c>
      <c r="B44" s="14"/>
      <c r="C44" s="14"/>
      <c r="D44" s="32" t="str">
        <f>IF($C44="","",IFERROR(INDEX(사업정보!$B$6:$B$35,MATCH($C44,사업정보!$A$6:$A$35,0)),"사업명확인"))</f>
        <v/>
      </c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19">
        <f t="shared" si="2"/>
        <v>0</v>
      </c>
      <c r="R44" s="20">
        <f>IF($B44="",0,IFERROR(Q44*INDEX(사업정보!$F$6:$F$35,MATCH($C44,사업정보!$A$6:$A$35,0))/INDEX(사업정보!$I$6:$I$35,MATCH($C44,사업정보!$A$6:$A$35,0)),0))</f>
        <v>0</v>
      </c>
      <c r="S44" s="20">
        <f>IF($B44="",0,IFERROR(Q44*INDEX(사업정보!$G$6:$G$35,MATCH($C44,사업정보!$A$6:$A$35,0))/INDEX(사업정보!$I$6:$I$35,MATCH($C44,사업정보!$A$6:$A$35,0)),0))</f>
        <v>0</v>
      </c>
    </row>
    <row r="45" spans="1:19">
      <c r="A45" s="32" t="str">
        <f>IF($B45="","",IFERROR(INDEX(팀별분석!$R$9:$R$48,MATCH($B45,팀별분석!$Q$9:$Q$48,0)),"명단확인"))</f>
        <v/>
      </c>
      <c r="B45" s="14"/>
      <c r="C45" s="14"/>
      <c r="D45" s="32" t="str">
        <f>IF($C45="","",IFERROR(INDEX(사업정보!$B$6:$B$35,MATCH($C45,사업정보!$A$6:$A$35,0)),"사업명확인"))</f>
        <v/>
      </c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19">
        <f t="shared" si="2"/>
        <v>0</v>
      </c>
      <c r="R45" s="20">
        <f>IF($B45="",0,IFERROR(Q45*INDEX(사업정보!$F$6:$F$35,MATCH($C45,사업정보!$A$6:$A$35,0))/INDEX(사업정보!$I$6:$I$35,MATCH($C45,사업정보!$A$6:$A$35,0)),0))</f>
        <v>0</v>
      </c>
      <c r="S45" s="20">
        <f>IF($B45="",0,IFERROR(Q45*INDEX(사업정보!$G$6:$G$35,MATCH($C45,사업정보!$A$6:$A$35,0))/INDEX(사업정보!$I$6:$I$35,MATCH($C45,사업정보!$A$6:$A$35,0)),0))</f>
        <v>0</v>
      </c>
    </row>
    <row r="46" spans="1:19">
      <c r="A46" s="32" t="str">
        <f>IF($B46="","",IFERROR(INDEX(팀별분석!$R$9:$R$48,MATCH($B46,팀별분석!$Q$9:$Q$48,0)),"명단확인"))</f>
        <v/>
      </c>
      <c r="B46" s="14"/>
      <c r="C46" s="14"/>
      <c r="D46" s="32" t="str">
        <f>IF($C46="","",IFERROR(INDEX(사업정보!$B$6:$B$35,MATCH($C46,사업정보!$A$6:$A$35,0)),"사업명확인"))</f>
        <v/>
      </c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19">
        <f t="shared" si="2"/>
        <v>0</v>
      </c>
      <c r="R46" s="20">
        <f>IF($B46="",0,IFERROR(Q46*INDEX(사업정보!$F$6:$F$35,MATCH($C46,사업정보!$A$6:$A$35,0))/INDEX(사업정보!$I$6:$I$35,MATCH($C46,사업정보!$A$6:$A$35,0)),0))</f>
        <v>0</v>
      </c>
      <c r="S46" s="20">
        <f>IF($B46="",0,IFERROR(Q46*INDEX(사업정보!$G$6:$G$35,MATCH($C46,사업정보!$A$6:$A$35,0))/INDEX(사업정보!$I$6:$I$35,MATCH($C46,사업정보!$A$6:$A$35,0)),0))</f>
        <v>0</v>
      </c>
    </row>
    <row r="47" spans="1:19">
      <c r="A47" s="32" t="str">
        <f>IF($B47="","",IFERROR(INDEX(팀별분석!$R$9:$R$48,MATCH($B47,팀별분석!$Q$9:$Q$48,0)),"명단확인"))</f>
        <v/>
      </c>
      <c r="B47" s="14"/>
      <c r="C47" s="14"/>
      <c r="D47" s="32" t="str">
        <f>IF($C47="","",IFERROR(INDEX(사업정보!$B$6:$B$35,MATCH($C47,사업정보!$A$6:$A$35,0)),"사업명확인"))</f>
        <v/>
      </c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19">
        <f t="shared" si="2"/>
        <v>0</v>
      </c>
      <c r="R47" s="20">
        <f>IF($B47="",0,IFERROR(Q47*INDEX(사업정보!$F$6:$F$35,MATCH($C47,사업정보!$A$6:$A$35,0))/INDEX(사업정보!$I$6:$I$35,MATCH($C47,사업정보!$A$6:$A$35,0)),0))</f>
        <v>0</v>
      </c>
      <c r="S47" s="20">
        <f>IF($B47="",0,IFERROR(Q47*INDEX(사업정보!$G$6:$G$35,MATCH($C47,사업정보!$A$6:$A$35,0))/INDEX(사업정보!$I$6:$I$35,MATCH($C47,사업정보!$A$6:$A$35,0)),0))</f>
        <v>0</v>
      </c>
    </row>
    <row r="48" spans="1:19">
      <c r="A48" s="32" t="str">
        <f>IF($B48="","",IFERROR(INDEX(팀별분석!$R$9:$R$48,MATCH($B48,팀별분석!$Q$9:$Q$48,0)),"명단확인"))</f>
        <v/>
      </c>
      <c r="B48" s="14"/>
      <c r="C48" s="14"/>
      <c r="D48" s="32" t="str">
        <f>IF($C48="","",IFERROR(INDEX(사업정보!$B$6:$B$35,MATCH($C48,사업정보!$A$6:$A$35,0)),"사업명확인"))</f>
        <v/>
      </c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19">
        <f t="shared" si="2"/>
        <v>0</v>
      </c>
      <c r="R48" s="20">
        <f>IF($B48="",0,IFERROR(Q48*INDEX(사업정보!$F$6:$F$35,MATCH($C48,사업정보!$A$6:$A$35,0))/INDEX(사업정보!$I$6:$I$35,MATCH($C48,사업정보!$A$6:$A$35,0)),0))</f>
        <v>0</v>
      </c>
      <c r="S48" s="20">
        <f>IF($B48="",0,IFERROR(Q48*INDEX(사업정보!$G$6:$G$35,MATCH($C48,사업정보!$A$6:$A$35,0))/INDEX(사업정보!$I$6:$I$35,MATCH($C48,사업정보!$A$6:$A$35,0)),0))</f>
        <v>0</v>
      </c>
    </row>
    <row r="49" spans="1:19">
      <c r="A49" s="32" t="str">
        <f>IF($B49="","",IFERROR(INDEX(팀별분석!$R$9:$R$48,MATCH($B49,팀별분석!$Q$9:$Q$48,0)),"명단확인"))</f>
        <v/>
      </c>
      <c r="B49" s="14"/>
      <c r="C49" s="14"/>
      <c r="D49" s="32" t="str">
        <f>IF($C49="","",IFERROR(INDEX(사업정보!$B$6:$B$35,MATCH($C49,사업정보!$A$6:$A$35,0)),"사업명확인"))</f>
        <v/>
      </c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19">
        <f t="shared" si="2"/>
        <v>0</v>
      </c>
      <c r="R49" s="20">
        <f>IF($B49="",0,IFERROR(Q49*INDEX(사업정보!$F$6:$F$35,MATCH($C49,사업정보!$A$6:$A$35,0))/INDEX(사업정보!$I$6:$I$35,MATCH($C49,사업정보!$A$6:$A$35,0)),0))</f>
        <v>0</v>
      </c>
      <c r="S49" s="20">
        <f>IF($B49="",0,IFERROR(Q49*INDEX(사업정보!$G$6:$G$35,MATCH($C49,사업정보!$A$6:$A$35,0))/INDEX(사업정보!$I$6:$I$35,MATCH($C49,사업정보!$A$6:$A$35,0)),0))</f>
        <v>0</v>
      </c>
    </row>
    <row r="50" spans="1:19">
      <c r="A50" s="32" t="str">
        <f>IF($B50="","",IFERROR(INDEX(팀별분석!$R$9:$R$48,MATCH($B50,팀별분석!$Q$9:$Q$48,0)),"명단확인"))</f>
        <v/>
      </c>
      <c r="B50" s="14"/>
      <c r="C50" s="14"/>
      <c r="D50" s="32" t="str">
        <f>IF($C50="","",IFERROR(INDEX(사업정보!$B$6:$B$35,MATCH($C50,사업정보!$A$6:$A$35,0)),"사업명확인"))</f>
        <v/>
      </c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19">
        <f t="shared" si="2"/>
        <v>0</v>
      </c>
      <c r="R50" s="20">
        <f>IF($B50="",0,IFERROR(Q50*INDEX(사업정보!$F$6:$F$35,MATCH($C50,사업정보!$A$6:$A$35,0))/INDEX(사업정보!$I$6:$I$35,MATCH($C50,사업정보!$A$6:$A$35,0)),0))</f>
        <v>0</v>
      </c>
      <c r="S50" s="20">
        <f>IF($B50="",0,IFERROR(Q50*INDEX(사업정보!$G$6:$G$35,MATCH($C50,사업정보!$A$6:$A$35,0))/INDEX(사업정보!$I$6:$I$35,MATCH($C50,사업정보!$A$6:$A$35,0)),0))</f>
        <v>0</v>
      </c>
    </row>
    <row r="51" spans="1:19">
      <c r="A51" s="32" t="str">
        <f>IF($B51="","",IFERROR(INDEX(팀별분석!$R$9:$R$48,MATCH($B51,팀별분석!$Q$9:$Q$48,0)),"명단확인"))</f>
        <v/>
      </c>
      <c r="B51" s="14"/>
      <c r="C51" s="14"/>
      <c r="D51" s="32" t="str">
        <f>IF($C51="","",IFERROR(INDEX(사업정보!$B$6:$B$35,MATCH($C51,사업정보!$A$6:$A$35,0)),"사업명확인"))</f>
        <v/>
      </c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19">
        <f t="shared" si="2"/>
        <v>0</v>
      </c>
      <c r="R51" s="20">
        <f>IF($B51="",0,IFERROR(Q51*INDEX(사업정보!$F$6:$F$35,MATCH($C51,사업정보!$A$6:$A$35,0))/INDEX(사업정보!$I$6:$I$35,MATCH($C51,사업정보!$A$6:$A$35,0)),0))</f>
        <v>0</v>
      </c>
      <c r="S51" s="20">
        <f>IF($B51="",0,IFERROR(Q51*INDEX(사업정보!$G$6:$G$35,MATCH($C51,사업정보!$A$6:$A$35,0))/INDEX(사업정보!$I$6:$I$35,MATCH($C51,사업정보!$A$6:$A$35,0)),0))</f>
        <v>0</v>
      </c>
    </row>
    <row r="52" spans="1:19">
      <c r="A52" s="32" t="str">
        <f>IF($B52="","",IFERROR(INDEX(팀별분석!$R$9:$R$48,MATCH($B52,팀별분석!$Q$9:$Q$48,0)),"명단확인"))</f>
        <v/>
      </c>
      <c r="B52" s="14"/>
      <c r="C52" s="14"/>
      <c r="D52" s="32" t="str">
        <f>IF($C52="","",IFERROR(INDEX(사업정보!$B$6:$B$35,MATCH($C52,사업정보!$A$6:$A$35,0)),"사업명확인"))</f>
        <v/>
      </c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19">
        <f t="shared" si="2"/>
        <v>0</v>
      </c>
      <c r="R52" s="20">
        <f>IF($B52="",0,IFERROR(Q52*INDEX(사업정보!$F$6:$F$35,MATCH($C52,사업정보!$A$6:$A$35,0))/INDEX(사업정보!$I$6:$I$35,MATCH($C52,사업정보!$A$6:$A$35,0)),0))</f>
        <v>0</v>
      </c>
      <c r="S52" s="20">
        <f>IF($B52="",0,IFERROR(Q52*INDEX(사업정보!$G$6:$G$35,MATCH($C52,사업정보!$A$6:$A$35,0))/INDEX(사업정보!$I$6:$I$35,MATCH($C52,사업정보!$A$6:$A$35,0)),0))</f>
        <v>0</v>
      </c>
    </row>
    <row r="53" spans="1:19">
      <c r="A53" s="32" t="str">
        <f>IF($B53="","",IFERROR(INDEX(팀별분석!$R$9:$R$48,MATCH($B53,팀별분석!$Q$9:$Q$48,0)),"명단확인"))</f>
        <v/>
      </c>
      <c r="B53" s="14"/>
      <c r="C53" s="14"/>
      <c r="D53" s="32" t="str">
        <f>IF($C53="","",IFERROR(INDEX(사업정보!$B$6:$B$35,MATCH($C53,사업정보!$A$6:$A$35,0)),"사업명확인"))</f>
        <v/>
      </c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19">
        <f t="shared" si="2"/>
        <v>0</v>
      </c>
      <c r="R53" s="20">
        <f>IF($B53="",0,IFERROR(Q53*INDEX(사업정보!$F$6:$F$35,MATCH($C53,사업정보!$A$6:$A$35,0))/INDEX(사업정보!$I$6:$I$35,MATCH($C53,사업정보!$A$6:$A$35,0)),0))</f>
        <v>0</v>
      </c>
      <c r="S53" s="20">
        <f>IF($B53="",0,IFERROR(Q53*INDEX(사업정보!$G$6:$G$35,MATCH($C53,사업정보!$A$6:$A$35,0))/INDEX(사업정보!$I$6:$I$35,MATCH($C53,사업정보!$A$6:$A$35,0)),0))</f>
        <v>0</v>
      </c>
    </row>
    <row r="54" spans="1:19">
      <c r="A54" s="32" t="str">
        <f>IF($B54="","",IFERROR(INDEX(팀별분석!$R$9:$R$48,MATCH($B54,팀별분석!$Q$9:$Q$48,0)),"명단확인"))</f>
        <v/>
      </c>
      <c r="B54" s="14"/>
      <c r="C54" s="14"/>
      <c r="D54" s="32" t="str">
        <f>IF($C54="","",IFERROR(INDEX(사업정보!$B$6:$B$35,MATCH($C54,사업정보!$A$6:$A$35,0)),"사업명확인"))</f>
        <v/>
      </c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19">
        <f t="shared" si="2"/>
        <v>0</v>
      </c>
      <c r="R54" s="20">
        <f>IF($B54="",0,IFERROR(Q54*INDEX(사업정보!$F$6:$F$35,MATCH($C54,사업정보!$A$6:$A$35,0))/INDEX(사업정보!$I$6:$I$35,MATCH($C54,사업정보!$A$6:$A$35,0)),0))</f>
        <v>0</v>
      </c>
      <c r="S54" s="20">
        <f>IF($B54="",0,IFERROR(Q54*INDEX(사업정보!$G$6:$G$35,MATCH($C54,사업정보!$A$6:$A$35,0))/INDEX(사업정보!$I$6:$I$35,MATCH($C54,사업정보!$A$6:$A$35,0)),0))</f>
        <v>0</v>
      </c>
    </row>
    <row r="55" spans="1:19">
      <c r="A55" s="32" t="str">
        <f>IF($B55="","",IFERROR(INDEX(팀별분석!$R$9:$R$48,MATCH($B55,팀별분석!$Q$9:$Q$48,0)),"명단확인"))</f>
        <v/>
      </c>
      <c r="B55" s="14"/>
      <c r="C55" s="14"/>
      <c r="D55" s="32" t="str">
        <f>IF($C55="","",IFERROR(INDEX(사업정보!$B$6:$B$35,MATCH($C55,사업정보!$A$6:$A$35,0)),"사업명확인"))</f>
        <v/>
      </c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19">
        <f t="shared" si="2"/>
        <v>0</v>
      </c>
      <c r="R55" s="20">
        <f>IF($B55="",0,IFERROR(Q55*INDEX(사업정보!$F$6:$F$35,MATCH($C55,사업정보!$A$6:$A$35,0))/INDEX(사업정보!$I$6:$I$35,MATCH($C55,사업정보!$A$6:$A$35,0)),0))</f>
        <v>0</v>
      </c>
      <c r="S55" s="20">
        <f>IF($B55="",0,IFERROR(Q55*INDEX(사업정보!$G$6:$G$35,MATCH($C55,사업정보!$A$6:$A$35,0))/INDEX(사업정보!$I$6:$I$35,MATCH($C55,사업정보!$A$6:$A$35,0)),0))</f>
        <v>0</v>
      </c>
    </row>
    <row r="56" spans="1:19">
      <c r="A56" s="32" t="str">
        <f>IF($B56="","",IFERROR(INDEX(팀별분석!$R$9:$R$48,MATCH($B56,팀별분석!$Q$9:$Q$48,0)),"명단확인"))</f>
        <v/>
      </c>
      <c r="B56" s="14"/>
      <c r="C56" s="14"/>
      <c r="D56" s="32" t="str">
        <f>IF($C56="","",IFERROR(INDEX(사업정보!$B$6:$B$35,MATCH($C56,사업정보!$A$6:$A$35,0)),"사업명확인"))</f>
        <v/>
      </c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19">
        <f t="shared" si="2"/>
        <v>0</v>
      </c>
      <c r="R56" s="20">
        <f>IF($B56="",0,IFERROR(Q56*INDEX(사업정보!$F$6:$F$35,MATCH($C56,사업정보!$A$6:$A$35,0))/INDEX(사업정보!$I$6:$I$35,MATCH($C56,사업정보!$A$6:$A$35,0)),0))</f>
        <v>0</v>
      </c>
      <c r="S56" s="20">
        <f>IF($B56="",0,IFERROR(Q56*INDEX(사업정보!$G$6:$G$35,MATCH($C56,사업정보!$A$6:$A$35,0))/INDEX(사업정보!$I$6:$I$35,MATCH($C56,사업정보!$A$6:$A$35,0)),0))</f>
        <v>0</v>
      </c>
    </row>
    <row r="57" spans="1:19">
      <c r="A57" s="32" t="str">
        <f>IF($B57="","",IFERROR(INDEX(팀별분석!$R$9:$R$48,MATCH($B57,팀별분석!$Q$9:$Q$48,0)),"명단확인"))</f>
        <v/>
      </c>
      <c r="B57" s="14"/>
      <c r="C57" s="14"/>
      <c r="D57" s="32" t="str">
        <f>IF($C57="","",IFERROR(INDEX(사업정보!$B$6:$B$35,MATCH($C57,사업정보!$A$6:$A$35,0)),"사업명확인"))</f>
        <v/>
      </c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19">
        <f t="shared" si="2"/>
        <v>0</v>
      </c>
      <c r="R57" s="20">
        <f>IF($B57="",0,IFERROR(Q57*INDEX(사업정보!$F$6:$F$35,MATCH($C57,사업정보!$A$6:$A$35,0))/INDEX(사업정보!$I$6:$I$35,MATCH($C57,사업정보!$A$6:$A$35,0)),0))</f>
        <v>0</v>
      </c>
      <c r="S57" s="20">
        <f>IF($B57="",0,IFERROR(Q57*INDEX(사업정보!$G$6:$G$35,MATCH($C57,사업정보!$A$6:$A$35,0))/INDEX(사업정보!$I$6:$I$35,MATCH($C57,사업정보!$A$6:$A$35,0)),0))</f>
        <v>0</v>
      </c>
    </row>
    <row r="58" spans="1:19">
      <c r="A58" s="32" t="str">
        <f>IF($B58="","",IFERROR(INDEX(팀별분석!$R$9:$R$48,MATCH($B58,팀별분석!$Q$9:$Q$48,0)),"명단확인"))</f>
        <v/>
      </c>
      <c r="B58" s="14"/>
      <c r="C58" s="14"/>
      <c r="D58" s="32" t="str">
        <f>IF($C58="","",IFERROR(INDEX(사업정보!$B$6:$B$35,MATCH($C58,사업정보!$A$6:$A$35,0)),"사업명확인"))</f>
        <v/>
      </c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19">
        <f t="shared" si="2"/>
        <v>0</v>
      </c>
      <c r="R58" s="20">
        <f>IF($B58="",0,IFERROR(Q58*INDEX(사업정보!$F$6:$F$35,MATCH($C58,사업정보!$A$6:$A$35,0))/INDEX(사업정보!$I$6:$I$35,MATCH($C58,사업정보!$A$6:$A$35,0)),0))</f>
        <v>0</v>
      </c>
      <c r="S58" s="20">
        <f>IF($B58="",0,IFERROR(Q58*INDEX(사업정보!$G$6:$G$35,MATCH($C58,사업정보!$A$6:$A$35,0))/INDEX(사업정보!$I$6:$I$35,MATCH($C58,사업정보!$A$6:$A$35,0)),0))</f>
        <v>0</v>
      </c>
    </row>
    <row r="59" spans="1:19">
      <c r="A59" s="32" t="str">
        <f>IF($B59="","",IFERROR(INDEX(팀별분석!$R$9:$R$48,MATCH($B59,팀별분석!$Q$9:$Q$48,0)),"명단확인"))</f>
        <v/>
      </c>
      <c r="B59" s="14"/>
      <c r="C59" s="14"/>
      <c r="D59" s="32" t="str">
        <f>IF($C59="","",IFERROR(INDEX(사업정보!$B$6:$B$35,MATCH($C59,사업정보!$A$6:$A$35,0)),"사업명확인"))</f>
        <v/>
      </c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19">
        <f t="shared" si="2"/>
        <v>0</v>
      </c>
      <c r="R59" s="20">
        <f>IF($B59="",0,IFERROR(Q59*INDEX(사업정보!$F$6:$F$35,MATCH($C59,사업정보!$A$6:$A$35,0))/INDEX(사업정보!$I$6:$I$35,MATCH($C59,사업정보!$A$6:$A$35,0)),0))</f>
        <v>0</v>
      </c>
      <c r="S59" s="20">
        <f>IF($B59="",0,IFERROR(Q59*INDEX(사업정보!$G$6:$G$35,MATCH($C59,사업정보!$A$6:$A$35,0))/INDEX(사업정보!$I$6:$I$35,MATCH($C59,사업정보!$A$6:$A$35,0)),0))</f>
        <v>0</v>
      </c>
    </row>
    <row r="60" spans="1:19">
      <c r="A60" s="32" t="str">
        <f>IF($B60="","",IFERROR(INDEX(팀별분석!$R$9:$R$48,MATCH($B60,팀별분석!$Q$9:$Q$48,0)),"명단확인"))</f>
        <v/>
      </c>
      <c r="B60" s="14"/>
      <c r="C60" s="14"/>
      <c r="D60" s="32" t="str">
        <f>IF($C60="","",IFERROR(INDEX(사업정보!$B$6:$B$35,MATCH($C60,사업정보!$A$6:$A$35,0)),"사업명확인"))</f>
        <v/>
      </c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19">
        <f t="shared" si="2"/>
        <v>0</v>
      </c>
      <c r="R60" s="20">
        <f>IF($B60="",0,IFERROR(Q60*INDEX(사업정보!$F$6:$F$35,MATCH($C60,사업정보!$A$6:$A$35,0))/INDEX(사업정보!$I$6:$I$35,MATCH($C60,사업정보!$A$6:$A$35,0)),0))</f>
        <v>0</v>
      </c>
      <c r="S60" s="20">
        <f>IF($B60="",0,IFERROR(Q60*INDEX(사업정보!$G$6:$G$35,MATCH($C60,사업정보!$A$6:$A$35,0))/INDEX(사업정보!$I$6:$I$35,MATCH($C60,사업정보!$A$6:$A$35,0)),0))</f>
        <v>0</v>
      </c>
    </row>
    <row r="61" spans="1:19">
      <c r="A61" s="32" t="str">
        <f>IF($B61="","",IFERROR(INDEX(팀별분석!$R$9:$R$48,MATCH($B61,팀별분석!$Q$9:$Q$48,0)),"명단확인"))</f>
        <v/>
      </c>
      <c r="B61" s="14"/>
      <c r="C61" s="14"/>
      <c r="D61" s="32" t="str">
        <f>IF($C61="","",IFERROR(INDEX(사업정보!$B$6:$B$35,MATCH($C61,사업정보!$A$6:$A$35,0)),"사업명확인"))</f>
        <v/>
      </c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19">
        <f t="shared" si="2"/>
        <v>0</v>
      </c>
      <c r="R61" s="20">
        <f>IF($B61="",0,IFERROR(Q61*INDEX(사업정보!$F$6:$F$35,MATCH($C61,사업정보!$A$6:$A$35,0))/INDEX(사업정보!$I$6:$I$35,MATCH($C61,사업정보!$A$6:$A$35,0)),0))</f>
        <v>0</v>
      </c>
      <c r="S61" s="20">
        <f>IF($B61="",0,IFERROR(Q61*INDEX(사업정보!$G$6:$G$35,MATCH($C61,사업정보!$A$6:$A$35,0))/INDEX(사업정보!$I$6:$I$35,MATCH($C61,사업정보!$A$6:$A$35,0)),0))</f>
        <v>0</v>
      </c>
    </row>
    <row r="62" spans="1:19">
      <c r="A62" s="32" t="str">
        <f>IF($B62="","",IFERROR(INDEX(팀별분석!$R$9:$R$48,MATCH($B62,팀별분석!$Q$9:$Q$48,0)),"명단확인"))</f>
        <v/>
      </c>
      <c r="B62" s="14"/>
      <c r="C62" s="14"/>
      <c r="D62" s="32" t="str">
        <f>IF($C62="","",IFERROR(INDEX(사업정보!$B$6:$B$35,MATCH($C62,사업정보!$A$6:$A$35,0)),"사업명확인"))</f>
        <v/>
      </c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19">
        <f t="shared" si="2"/>
        <v>0</v>
      </c>
      <c r="R62" s="20">
        <f>IF($B62="",0,IFERROR(Q62*INDEX(사업정보!$F$6:$F$35,MATCH($C62,사업정보!$A$6:$A$35,0))/INDEX(사업정보!$I$6:$I$35,MATCH($C62,사업정보!$A$6:$A$35,0)),0))</f>
        <v>0</v>
      </c>
      <c r="S62" s="20">
        <f>IF($B62="",0,IFERROR(Q62*INDEX(사업정보!$G$6:$G$35,MATCH($C62,사업정보!$A$6:$A$35,0))/INDEX(사업정보!$I$6:$I$35,MATCH($C62,사업정보!$A$6:$A$35,0)),0))</f>
        <v>0</v>
      </c>
    </row>
    <row r="63" spans="1:19">
      <c r="A63" s="32" t="str">
        <f>IF($B63="","",IFERROR(INDEX(팀별분석!$R$9:$R$48,MATCH($B63,팀별분석!$Q$9:$Q$48,0)),"명단확인"))</f>
        <v/>
      </c>
      <c r="B63" s="14"/>
      <c r="C63" s="14"/>
      <c r="D63" s="32" t="str">
        <f>IF($C63="","",IFERROR(INDEX(사업정보!$B$6:$B$35,MATCH($C63,사업정보!$A$6:$A$35,0)),"사업명확인"))</f>
        <v/>
      </c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19">
        <f t="shared" si="2"/>
        <v>0</v>
      </c>
      <c r="R63" s="20">
        <f>IF($B63="",0,IFERROR(Q63*INDEX(사업정보!$F$6:$F$35,MATCH($C63,사업정보!$A$6:$A$35,0))/INDEX(사업정보!$I$6:$I$35,MATCH($C63,사업정보!$A$6:$A$35,0)),0))</f>
        <v>0</v>
      </c>
      <c r="S63" s="20">
        <f>IF($B63="",0,IFERROR(Q63*INDEX(사업정보!$G$6:$G$35,MATCH($C63,사업정보!$A$6:$A$35,0))/INDEX(사업정보!$I$6:$I$35,MATCH($C63,사업정보!$A$6:$A$35,0)),0))</f>
        <v>0</v>
      </c>
    </row>
    <row r="64" spans="1:19">
      <c r="A64" s="32" t="str">
        <f>IF($B64="","",IFERROR(INDEX(팀별분석!$R$9:$R$48,MATCH($B64,팀별분석!$Q$9:$Q$48,0)),"명단확인"))</f>
        <v/>
      </c>
      <c r="B64" s="14"/>
      <c r="C64" s="14"/>
      <c r="D64" s="32" t="str">
        <f>IF($C64="","",IFERROR(INDEX(사업정보!$B$6:$B$35,MATCH($C64,사업정보!$A$6:$A$35,0)),"사업명확인"))</f>
        <v/>
      </c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19">
        <f t="shared" si="2"/>
        <v>0</v>
      </c>
      <c r="R64" s="20">
        <f>IF($B64="",0,IFERROR(Q64*INDEX(사업정보!$F$6:$F$35,MATCH($C64,사업정보!$A$6:$A$35,0))/INDEX(사업정보!$I$6:$I$35,MATCH($C64,사업정보!$A$6:$A$35,0)),0))</f>
        <v>0</v>
      </c>
      <c r="S64" s="20">
        <f>IF($B64="",0,IFERROR(Q64*INDEX(사업정보!$G$6:$G$35,MATCH($C64,사업정보!$A$6:$A$35,0))/INDEX(사업정보!$I$6:$I$35,MATCH($C64,사업정보!$A$6:$A$35,0)),0))</f>
        <v>0</v>
      </c>
    </row>
    <row r="65" spans="1:19">
      <c r="A65" s="32" t="str">
        <f>IF($B65="","",IFERROR(INDEX(팀별분석!$R$9:$R$48,MATCH($B65,팀별분석!$Q$9:$Q$48,0)),"명단확인"))</f>
        <v/>
      </c>
      <c r="B65" s="14"/>
      <c r="C65" s="14"/>
      <c r="D65" s="32" t="str">
        <f>IF($C65="","",IFERROR(INDEX(사업정보!$B$6:$B$35,MATCH($C65,사업정보!$A$6:$A$35,0)),"사업명확인"))</f>
        <v/>
      </c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19">
        <f t="shared" si="2"/>
        <v>0</v>
      </c>
      <c r="R65" s="20">
        <f>IF($B65="",0,IFERROR(Q65*INDEX(사업정보!$F$6:$F$35,MATCH($C65,사업정보!$A$6:$A$35,0))/INDEX(사업정보!$I$6:$I$35,MATCH($C65,사업정보!$A$6:$A$35,0)),0))</f>
        <v>0</v>
      </c>
      <c r="S65" s="20">
        <f>IF($B65="",0,IFERROR(Q65*INDEX(사업정보!$G$6:$G$35,MATCH($C65,사업정보!$A$6:$A$35,0))/INDEX(사업정보!$I$6:$I$35,MATCH($C65,사업정보!$A$6:$A$35,0)),0))</f>
        <v>0</v>
      </c>
    </row>
    <row r="66" spans="1:19">
      <c r="A66" s="32" t="str">
        <f>IF($B66="","",IFERROR(INDEX(팀별분석!$R$9:$R$48,MATCH($B66,팀별분석!$Q$9:$Q$48,0)),"명단확인"))</f>
        <v/>
      </c>
      <c r="B66" s="14"/>
      <c r="C66" s="14"/>
      <c r="D66" s="32" t="str">
        <f>IF($C66="","",IFERROR(INDEX(사업정보!$B$6:$B$35,MATCH($C66,사업정보!$A$6:$A$35,0)),"사업명확인"))</f>
        <v/>
      </c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19">
        <f t="shared" si="2"/>
        <v>0</v>
      </c>
      <c r="R66" s="20">
        <f>IF($B66="",0,IFERROR(Q66*INDEX(사업정보!$F$6:$F$35,MATCH($C66,사업정보!$A$6:$A$35,0))/INDEX(사업정보!$I$6:$I$35,MATCH($C66,사업정보!$A$6:$A$35,0)),0))</f>
        <v>0</v>
      </c>
      <c r="S66" s="20">
        <f>IF($B66="",0,IFERROR(Q66*INDEX(사업정보!$G$6:$G$35,MATCH($C66,사업정보!$A$6:$A$35,0))/INDEX(사업정보!$I$6:$I$35,MATCH($C66,사업정보!$A$6:$A$35,0)),0))</f>
        <v>0</v>
      </c>
    </row>
    <row r="67" spans="1:19">
      <c r="A67" s="32" t="str">
        <f>IF($B67="","",IFERROR(INDEX(팀별분석!$R$9:$R$48,MATCH($B67,팀별분석!$Q$9:$Q$48,0)),"명단확인"))</f>
        <v/>
      </c>
      <c r="B67" s="14"/>
      <c r="C67" s="14"/>
      <c r="D67" s="32" t="str">
        <f>IF($C67="","",IFERROR(INDEX(사업정보!$B$6:$B$35,MATCH($C67,사업정보!$A$6:$A$35,0)),"사업명확인"))</f>
        <v/>
      </c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19">
        <f t="shared" si="2"/>
        <v>0</v>
      </c>
      <c r="R67" s="20">
        <f>IF($B67="",0,IFERROR(Q67*INDEX(사업정보!$F$6:$F$35,MATCH($C67,사업정보!$A$6:$A$35,0))/INDEX(사업정보!$I$6:$I$35,MATCH($C67,사업정보!$A$6:$A$35,0)),0))</f>
        <v>0</v>
      </c>
      <c r="S67" s="20">
        <f>IF($B67="",0,IFERROR(Q67*INDEX(사업정보!$G$6:$G$35,MATCH($C67,사업정보!$A$6:$A$35,0))/INDEX(사업정보!$I$6:$I$35,MATCH($C67,사업정보!$A$6:$A$35,0)),0))</f>
        <v>0</v>
      </c>
    </row>
    <row r="68" spans="1:19">
      <c r="A68" s="32" t="str">
        <f>IF($B68="","",IFERROR(INDEX(팀별분석!$R$9:$R$48,MATCH($B68,팀별분석!$Q$9:$Q$48,0)),"명단확인"))</f>
        <v/>
      </c>
      <c r="B68" s="14"/>
      <c r="C68" s="14"/>
      <c r="D68" s="32" t="str">
        <f>IF($C68="","",IFERROR(INDEX(사업정보!$B$6:$B$35,MATCH($C68,사업정보!$A$6:$A$35,0)),"사업명확인"))</f>
        <v/>
      </c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19">
        <f t="shared" si="2"/>
        <v>0</v>
      </c>
      <c r="R68" s="20">
        <f>IF($B68="",0,IFERROR(Q68*INDEX(사업정보!$F$6:$F$35,MATCH($C68,사업정보!$A$6:$A$35,0))/INDEX(사업정보!$I$6:$I$35,MATCH($C68,사업정보!$A$6:$A$35,0)),0))</f>
        <v>0</v>
      </c>
      <c r="S68" s="20">
        <f>IF($B68="",0,IFERROR(Q68*INDEX(사업정보!$G$6:$G$35,MATCH($C68,사업정보!$A$6:$A$35,0))/INDEX(사업정보!$I$6:$I$35,MATCH($C68,사업정보!$A$6:$A$35,0)),0))</f>
        <v>0</v>
      </c>
    </row>
    <row r="69" spans="1:19">
      <c r="A69" s="32" t="str">
        <f>IF($B69="","",IFERROR(INDEX(팀별분석!$R$9:$R$48,MATCH($B69,팀별분석!$Q$9:$Q$48,0)),"명단확인"))</f>
        <v/>
      </c>
      <c r="B69" s="14"/>
      <c r="C69" s="14"/>
      <c r="D69" s="32" t="str">
        <f>IF($C69="","",IFERROR(INDEX(사업정보!$B$6:$B$35,MATCH($C69,사업정보!$A$6:$A$35,0)),"사업명확인"))</f>
        <v/>
      </c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19">
        <f t="shared" si="2"/>
        <v>0</v>
      </c>
      <c r="R69" s="20">
        <f>IF($B69="",0,IFERROR(Q69*INDEX(사업정보!$F$6:$F$35,MATCH($C69,사업정보!$A$6:$A$35,0))/INDEX(사업정보!$I$6:$I$35,MATCH($C69,사업정보!$A$6:$A$35,0)),0))</f>
        <v>0</v>
      </c>
      <c r="S69" s="20">
        <f>IF($B69="",0,IFERROR(Q69*INDEX(사업정보!$G$6:$G$35,MATCH($C69,사업정보!$A$6:$A$35,0))/INDEX(사업정보!$I$6:$I$35,MATCH($C69,사업정보!$A$6:$A$35,0)),0))</f>
        <v>0</v>
      </c>
    </row>
    <row r="70" spans="1:19">
      <c r="A70" s="32" t="str">
        <f>IF($B70="","",IFERROR(INDEX(팀별분석!$R$9:$R$48,MATCH($B70,팀별분석!$Q$9:$Q$48,0)),"명단확인"))</f>
        <v/>
      </c>
      <c r="B70" s="14"/>
      <c r="C70" s="14"/>
      <c r="D70" s="32" t="str">
        <f>IF($C70="","",IFERROR(INDEX(사업정보!$B$6:$B$35,MATCH($C70,사업정보!$A$6:$A$35,0)),"사업명확인"))</f>
        <v/>
      </c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19">
        <f t="shared" si="2"/>
        <v>0</v>
      </c>
      <c r="R70" s="20">
        <f>IF($B70="",0,IFERROR(Q70*INDEX(사업정보!$F$6:$F$35,MATCH($C70,사업정보!$A$6:$A$35,0))/INDEX(사업정보!$I$6:$I$35,MATCH($C70,사업정보!$A$6:$A$35,0)),0))</f>
        <v>0</v>
      </c>
      <c r="S70" s="20">
        <f>IF($B70="",0,IFERROR(Q70*INDEX(사업정보!$G$6:$G$35,MATCH($C70,사업정보!$A$6:$A$35,0))/INDEX(사업정보!$I$6:$I$35,MATCH($C70,사업정보!$A$6:$A$35,0)),0))</f>
        <v>0</v>
      </c>
    </row>
    <row r="71" spans="1:19">
      <c r="A71" s="32" t="str">
        <f>IF($B71="","",IFERROR(INDEX(팀별분석!$R$9:$R$48,MATCH($B71,팀별분석!$Q$9:$Q$48,0)),"명단확인"))</f>
        <v/>
      </c>
      <c r="B71" s="14"/>
      <c r="C71" s="14"/>
      <c r="D71" s="32" t="str">
        <f>IF($C71="","",IFERROR(INDEX(사업정보!$B$6:$B$35,MATCH($C71,사업정보!$A$6:$A$35,0)),"사업명확인"))</f>
        <v/>
      </c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19">
        <f t="shared" si="2"/>
        <v>0</v>
      </c>
      <c r="R71" s="20">
        <f>IF($B71="",0,IFERROR(Q71*INDEX(사업정보!$F$6:$F$35,MATCH($C71,사업정보!$A$6:$A$35,0))/INDEX(사업정보!$I$6:$I$35,MATCH($C71,사업정보!$A$6:$A$35,0)),0))</f>
        <v>0</v>
      </c>
      <c r="S71" s="20">
        <f>IF($B71="",0,IFERROR(Q71*INDEX(사업정보!$G$6:$G$35,MATCH($C71,사업정보!$A$6:$A$35,0))/INDEX(사업정보!$I$6:$I$35,MATCH($C71,사업정보!$A$6:$A$35,0)),0))</f>
        <v>0</v>
      </c>
    </row>
    <row r="72" spans="1:19">
      <c r="A72" s="32" t="str">
        <f>IF($B72="","",IFERROR(INDEX(팀별분석!$R$9:$R$48,MATCH($B72,팀별분석!$Q$9:$Q$48,0)),"명단확인"))</f>
        <v/>
      </c>
      <c r="B72" s="14"/>
      <c r="C72" s="14"/>
      <c r="D72" s="32" t="str">
        <f>IF($C72="","",IFERROR(INDEX(사업정보!$B$6:$B$35,MATCH($C72,사업정보!$A$6:$A$35,0)),"사업명확인"))</f>
        <v/>
      </c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19">
        <f t="shared" ref="Q72:Q103" si="3">IF($B72="",0,SUM(E72:P72))</f>
        <v>0</v>
      </c>
      <c r="R72" s="20">
        <f>IF($B72="",0,IFERROR(Q72*INDEX(사업정보!$F$6:$F$35,MATCH($C72,사업정보!$A$6:$A$35,0))/INDEX(사업정보!$I$6:$I$35,MATCH($C72,사업정보!$A$6:$A$35,0)),0))</f>
        <v>0</v>
      </c>
      <c r="S72" s="20">
        <f>IF($B72="",0,IFERROR(Q72*INDEX(사업정보!$G$6:$G$35,MATCH($C72,사업정보!$A$6:$A$35,0))/INDEX(사업정보!$I$6:$I$35,MATCH($C72,사업정보!$A$6:$A$35,0)),0))</f>
        <v>0</v>
      </c>
    </row>
    <row r="73" spans="1:19">
      <c r="A73" s="32" t="str">
        <f>IF($B73="","",IFERROR(INDEX(팀별분석!$R$9:$R$48,MATCH($B73,팀별분석!$Q$9:$Q$48,0)),"명단확인"))</f>
        <v/>
      </c>
      <c r="B73" s="14"/>
      <c r="C73" s="14"/>
      <c r="D73" s="32" t="str">
        <f>IF($C73="","",IFERROR(INDEX(사업정보!$B$6:$B$35,MATCH($C73,사업정보!$A$6:$A$35,0)),"사업명확인"))</f>
        <v/>
      </c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19">
        <f t="shared" si="3"/>
        <v>0</v>
      </c>
      <c r="R73" s="20">
        <f>IF($B73="",0,IFERROR(Q73*INDEX(사업정보!$F$6:$F$35,MATCH($C73,사업정보!$A$6:$A$35,0))/INDEX(사업정보!$I$6:$I$35,MATCH($C73,사업정보!$A$6:$A$35,0)),0))</f>
        <v>0</v>
      </c>
      <c r="S73" s="20">
        <f>IF($B73="",0,IFERROR(Q73*INDEX(사업정보!$G$6:$G$35,MATCH($C73,사업정보!$A$6:$A$35,0))/INDEX(사업정보!$I$6:$I$35,MATCH($C73,사업정보!$A$6:$A$35,0)),0))</f>
        <v>0</v>
      </c>
    </row>
    <row r="74" spans="1:19">
      <c r="A74" s="32" t="str">
        <f>IF($B74="","",IFERROR(INDEX(팀별분석!$R$9:$R$48,MATCH($B74,팀별분석!$Q$9:$Q$48,0)),"명단확인"))</f>
        <v/>
      </c>
      <c r="B74" s="14"/>
      <c r="C74" s="14"/>
      <c r="D74" s="32" t="str">
        <f>IF($C74="","",IFERROR(INDEX(사업정보!$B$6:$B$35,MATCH($C74,사업정보!$A$6:$A$35,0)),"사업명확인"))</f>
        <v/>
      </c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19">
        <f t="shared" si="3"/>
        <v>0</v>
      </c>
      <c r="R74" s="20">
        <f>IF($B74="",0,IFERROR(Q74*INDEX(사업정보!$F$6:$F$35,MATCH($C74,사업정보!$A$6:$A$35,0))/INDEX(사업정보!$I$6:$I$35,MATCH($C74,사업정보!$A$6:$A$35,0)),0))</f>
        <v>0</v>
      </c>
      <c r="S74" s="20">
        <f>IF($B74="",0,IFERROR(Q74*INDEX(사업정보!$G$6:$G$35,MATCH($C74,사업정보!$A$6:$A$35,0))/INDEX(사업정보!$I$6:$I$35,MATCH($C74,사업정보!$A$6:$A$35,0)),0))</f>
        <v>0</v>
      </c>
    </row>
    <row r="75" spans="1:19">
      <c r="A75" s="32" t="str">
        <f>IF($B75="","",IFERROR(INDEX(팀별분석!$R$9:$R$48,MATCH($B75,팀별분석!$Q$9:$Q$48,0)),"명단확인"))</f>
        <v/>
      </c>
      <c r="B75" s="14"/>
      <c r="C75" s="14"/>
      <c r="D75" s="32" t="str">
        <f>IF($C75="","",IFERROR(INDEX(사업정보!$B$6:$B$35,MATCH($C75,사업정보!$A$6:$A$35,0)),"사업명확인"))</f>
        <v/>
      </c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19">
        <f t="shared" si="3"/>
        <v>0</v>
      </c>
      <c r="R75" s="20">
        <f>IF($B75="",0,IFERROR(Q75*INDEX(사업정보!$F$6:$F$35,MATCH($C75,사업정보!$A$6:$A$35,0))/INDEX(사업정보!$I$6:$I$35,MATCH($C75,사업정보!$A$6:$A$35,0)),0))</f>
        <v>0</v>
      </c>
      <c r="S75" s="20">
        <f>IF($B75="",0,IFERROR(Q75*INDEX(사업정보!$G$6:$G$35,MATCH($C75,사업정보!$A$6:$A$35,0))/INDEX(사업정보!$I$6:$I$35,MATCH($C75,사업정보!$A$6:$A$35,0)),0))</f>
        <v>0</v>
      </c>
    </row>
    <row r="76" spans="1:19">
      <c r="A76" s="32" t="str">
        <f>IF($B76="","",IFERROR(INDEX(팀별분석!$R$9:$R$48,MATCH($B76,팀별분석!$Q$9:$Q$48,0)),"명단확인"))</f>
        <v/>
      </c>
      <c r="B76" s="14"/>
      <c r="C76" s="14"/>
      <c r="D76" s="32" t="str">
        <f>IF($C76="","",IFERROR(INDEX(사업정보!$B$6:$B$35,MATCH($C76,사업정보!$A$6:$A$35,0)),"사업명확인"))</f>
        <v/>
      </c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19">
        <f t="shared" si="3"/>
        <v>0</v>
      </c>
      <c r="R76" s="20">
        <f>IF($B76="",0,IFERROR(Q76*INDEX(사업정보!$F$6:$F$35,MATCH($C76,사업정보!$A$6:$A$35,0))/INDEX(사업정보!$I$6:$I$35,MATCH($C76,사업정보!$A$6:$A$35,0)),0))</f>
        <v>0</v>
      </c>
      <c r="S76" s="20">
        <f>IF($B76="",0,IFERROR(Q76*INDEX(사업정보!$G$6:$G$35,MATCH($C76,사업정보!$A$6:$A$35,0))/INDEX(사업정보!$I$6:$I$35,MATCH($C76,사업정보!$A$6:$A$35,0)),0))</f>
        <v>0</v>
      </c>
    </row>
    <row r="77" spans="1:19">
      <c r="A77" s="32" t="str">
        <f>IF($B77="","",IFERROR(INDEX(팀별분석!$R$9:$R$48,MATCH($B77,팀별분석!$Q$9:$Q$48,0)),"명단확인"))</f>
        <v/>
      </c>
      <c r="B77" s="14"/>
      <c r="C77" s="14"/>
      <c r="D77" s="32" t="str">
        <f>IF($C77="","",IFERROR(INDEX(사업정보!$B$6:$B$35,MATCH($C77,사업정보!$A$6:$A$35,0)),"사업명확인"))</f>
        <v/>
      </c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19">
        <f t="shared" si="3"/>
        <v>0</v>
      </c>
      <c r="R77" s="20">
        <f>IF($B77="",0,IFERROR(Q77*INDEX(사업정보!$F$6:$F$35,MATCH($C77,사업정보!$A$6:$A$35,0))/INDEX(사업정보!$I$6:$I$35,MATCH($C77,사업정보!$A$6:$A$35,0)),0))</f>
        <v>0</v>
      </c>
      <c r="S77" s="20">
        <f>IF($B77="",0,IFERROR(Q77*INDEX(사업정보!$G$6:$G$35,MATCH($C77,사업정보!$A$6:$A$35,0))/INDEX(사업정보!$I$6:$I$35,MATCH($C77,사업정보!$A$6:$A$35,0)),0))</f>
        <v>0</v>
      </c>
    </row>
    <row r="78" spans="1:19">
      <c r="A78" s="32" t="str">
        <f>IF($B78="","",IFERROR(INDEX(팀별분석!$R$9:$R$48,MATCH($B78,팀별분석!$Q$9:$Q$48,0)),"명단확인"))</f>
        <v/>
      </c>
      <c r="B78" s="14"/>
      <c r="C78" s="14"/>
      <c r="D78" s="32" t="str">
        <f>IF($C78="","",IFERROR(INDEX(사업정보!$B$6:$B$35,MATCH($C78,사업정보!$A$6:$A$35,0)),"사업명확인"))</f>
        <v/>
      </c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19">
        <f t="shared" si="3"/>
        <v>0</v>
      </c>
      <c r="R78" s="20">
        <f>IF($B78="",0,IFERROR(Q78*INDEX(사업정보!$F$6:$F$35,MATCH($C78,사업정보!$A$6:$A$35,0))/INDEX(사업정보!$I$6:$I$35,MATCH($C78,사업정보!$A$6:$A$35,0)),0))</f>
        <v>0</v>
      </c>
      <c r="S78" s="20">
        <f>IF($B78="",0,IFERROR(Q78*INDEX(사업정보!$G$6:$G$35,MATCH($C78,사업정보!$A$6:$A$35,0))/INDEX(사업정보!$I$6:$I$35,MATCH($C78,사업정보!$A$6:$A$35,0)),0))</f>
        <v>0</v>
      </c>
    </row>
    <row r="79" spans="1:19">
      <c r="A79" s="32" t="str">
        <f>IF($B79="","",IFERROR(INDEX(팀별분석!$R$9:$R$48,MATCH($B79,팀별분석!$Q$9:$Q$48,0)),"명단확인"))</f>
        <v/>
      </c>
      <c r="B79" s="14"/>
      <c r="C79" s="14"/>
      <c r="D79" s="32" t="str">
        <f>IF($C79="","",IFERROR(INDEX(사업정보!$B$6:$B$35,MATCH($C79,사업정보!$A$6:$A$35,0)),"사업명확인"))</f>
        <v/>
      </c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19">
        <f t="shared" si="3"/>
        <v>0</v>
      </c>
      <c r="R79" s="20">
        <f>IF($B79="",0,IFERROR(Q79*INDEX(사업정보!$F$6:$F$35,MATCH($C79,사업정보!$A$6:$A$35,0))/INDEX(사업정보!$I$6:$I$35,MATCH($C79,사업정보!$A$6:$A$35,0)),0))</f>
        <v>0</v>
      </c>
      <c r="S79" s="20">
        <f>IF($B79="",0,IFERROR(Q79*INDEX(사업정보!$G$6:$G$35,MATCH($C79,사업정보!$A$6:$A$35,0))/INDEX(사업정보!$I$6:$I$35,MATCH($C79,사업정보!$A$6:$A$35,0)),0))</f>
        <v>0</v>
      </c>
    </row>
    <row r="80" spans="1:19">
      <c r="A80" s="32" t="str">
        <f>IF($B80="","",IFERROR(INDEX(팀별분석!$R$9:$R$48,MATCH($B80,팀별분석!$Q$9:$Q$48,0)),"명단확인"))</f>
        <v/>
      </c>
      <c r="B80" s="14"/>
      <c r="C80" s="14"/>
      <c r="D80" s="32" t="str">
        <f>IF($C80="","",IFERROR(INDEX(사업정보!$B$6:$B$35,MATCH($C80,사업정보!$A$6:$A$35,0)),"사업명확인"))</f>
        <v/>
      </c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19">
        <f t="shared" si="3"/>
        <v>0</v>
      </c>
      <c r="R80" s="20">
        <f>IF($B80="",0,IFERROR(Q80*INDEX(사업정보!$F$6:$F$35,MATCH($C80,사업정보!$A$6:$A$35,0))/INDEX(사업정보!$I$6:$I$35,MATCH($C80,사업정보!$A$6:$A$35,0)),0))</f>
        <v>0</v>
      </c>
      <c r="S80" s="20">
        <f>IF($B80="",0,IFERROR(Q80*INDEX(사업정보!$G$6:$G$35,MATCH($C80,사업정보!$A$6:$A$35,0))/INDEX(사업정보!$I$6:$I$35,MATCH($C80,사업정보!$A$6:$A$35,0)),0))</f>
        <v>0</v>
      </c>
    </row>
    <row r="81" spans="1:19">
      <c r="A81" s="32" t="str">
        <f>IF($B81="","",IFERROR(INDEX(팀별분석!$R$9:$R$48,MATCH($B81,팀별분석!$Q$9:$Q$48,0)),"명단확인"))</f>
        <v/>
      </c>
      <c r="B81" s="14"/>
      <c r="C81" s="14"/>
      <c r="D81" s="32" t="str">
        <f>IF($C81="","",IFERROR(INDEX(사업정보!$B$6:$B$35,MATCH($C81,사업정보!$A$6:$A$35,0)),"사업명확인"))</f>
        <v/>
      </c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19">
        <f t="shared" si="3"/>
        <v>0</v>
      </c>
      <c r="R81" s="20">
        <f>IF($B81="",0,IFERROR(Q81*INDEX(사업정보!$F$6:$F$35,MATCH($C81,사업정보!$A$6:$A$35,0))/INDEX(사업정보!$I$6:$I$35,MATCH($C81,사업정보!$A$6:$A$35,0)),0))</f>
        <v>0</v>
      </c>
      <c r="S81" s="20">
        <f>IF($B81="",0,IFERROR(Q81*INDEX(사업정보!$G$6:$G$35,MATCH($C81,사업정보!$A$6:$A$35,0))/INDEX(사업정보!$I$6:$I$35,MATCH($C81,사업정보!$A$6:$A$35,0)),0))</f>
        <v>0</v>
      </c>
    </row>
    <row r="82" spans="1:19">
      <c r="A82" s="32" t="str">
        <f>IF($B82="","",IFERROR(INDEX(팀별분석!$R$9:$R$48,MATCH($B82,팀별분석!$Q$9:$Q$48,0)),"명단확인"))</f>
        <v/>
      </c>
      <c r="B82" s="14"/>
      <c r="C82" s="14"/>
      <c r="D82" s="32" t="str">
        <f>IF($C82="","",IFERROR(INDEX(사업정보!$B$6:$B$35,MATCH($C82,사업정보!$A$6:$A$35,0)),"사업명확인"))</f>
        <v/>
      </c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19">
        <f t="shared" si="3"/>
        <v>0</v>
      </c>
      <c r="R82" s="20">
        <f>IF($B82="",0,IFERROR(Q82*INDEX(사업정보!$F$6:$F$35,MATCH($C82,사업정보!$A$6:$A$35,0))/INDEX(사업정보!$I$6:$I$35,MATCH($C82,사업정보!$A$6:$A$35,0)),0))</f>
        <v>0</v>
      </c>
      <c r="S82" s="20">
        <f>IF($B82="",0,IFERROR(Q82*INDEX(사업정보!$G$6:$G$35,MATCH($C82,사업정보!$A$6:$A$35,0))/INDEX(사업정보!$I$6:$I$35,MATCH($C82,사업정보!$A$6:$A$35,0)),0))</f>
        <v>0</v>
      </c>
    </row>
    <row r="83" spans="1:19">
      <c r="A83" s="32" t="str">
        <f>IF($B83="","",IFERROR(INDEX(팀별분석!$R$9:$R$48,MATCH($B83,팀별분석!$Q$9:$Q$48,0)),"명단확인"))</f>
        <v/>
      </c>
      <c r="B83" s="14"/>
      <c r="C83" s="14"/>
      <c r="D83" s="32" t="str">
        <f>IF($C83="","",IFERROR(INDEX(사업정보!$B$6:$B$35,MATCH($C83,사업정보!$A$6:$A$35,0)),"사업명확인"))</f>
        <v/>
      </c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19">
        <f t="shared" si="3"/>
        <v>0</v>
      </c>
      <c r="R83" s="20">
        <f>IF($B83="",0,IFERROR(Q83*INDEX(사업정보!$F$6:$F$35,MATCH($C83,사업정보!$A$6:$A$35,0))/INDEX(사업정보!$I$6:$I$35,MATCH($C83,사업정보!$A$6:$A$35,0)),0))</f>
        <v>0</v>
      </c>
      <c r="S83" s="20">
        <f>IF($B83="",0,IFERROR(Q83*INDEX(사업정보!$G$6:$G$35,MATCH($C83,사업정보!$A$6:$A$35,0))/INDEX(사업정보!$I$6:$I$35,MATCH($C83,사업정보!$A$6:$A$35,0)),0))</f>
        <v>0</v>
      </c>
    </row>
    <row r="84" spans="1:19">
      <c r="A84" s="32" t="str">
        <f>IF($B84="","",IFERROR(INDEX(팀별분석!$R$9:$R$48,MATCH($B84,팀별분석!$Q$9:$Q$48,0)),"명단확인"))</f>
        <v/>
      </c>
      <c r="B84" s="14"/>
      <c r="C84" s="14"/>
      <c r="D84" s="32" t="str">
        <f>IF($C84="","",IFERROR(INDEX(사업정보!$B$6:$B$35,MATCH($C84,사업정보!$A$6:$A$35,0)),"사업명확인"))</f>
        <v/>
      </c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19">
        <f t="shared" si="3"/>
        <v>0</v>
      </c>
      <c r="R84" s="20">
        <f>IF($B84="",0,IFERROR(Q84*INDEX(사업정보!$F$6:$F$35,MATCH($C84,사업정보!$A$6:$A$35,0))/INDEX(사업정보!$I$6:$I$35,MATCH($C84,사업정보!$A$6:$A$35,0)),0))</f>
        <v>0</v>
      </c>
      <c r="S84" s="20">
        <f>IF($B84="",0,IFERROR(Q84*INDEX(사업정보!$G$6:$G$35,MATCH($C84,사업정보!$A$6:$A$35,0))/INDEX(사업정보!$I$6:$I$35,MATCH($C84,사업정보!$A$6:$A$35,0)),0))</f>
        <v>0</v>
      </c>
    </row>
    <row r="85" spans="1:19">
      <c r="A85" s="32" t="str">
        <f>IF($B85="","",IFERROR(INDEX(팀별분석!$R$9:$R$48,MATCH($B85,팀별분석!$Q$9:$Q$48,0)),"명단확인"))</f>
        <v/>
      </c>
      <c r="B85" s="14"/>
      <c r="C85" s="14"/>
      <c r="D85" s="32" t="str">
        <f>IF($C85="","",IFERROR(INDEX(사업정보!$B$6:$B$35,MATCH($C85,사업정보!$A$6:$A$35,0)),"사업명확인"))</f>
        <v/>
      </c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19">
        <f t="shared" si="3"/>
        <v>0</v>
      </c>
      <c r="R85" s="20">
        <f>IF($B85="",0,IFERROR(Q85*INDEX(사업정보!$F$6:$F$35,MATCH($C85,사업정보!$A$6:$A$35,0))/INDEX(사업정보!$I$6:$I$35,MATCH($C85,사업정보!$A$6:$A$35,0)),0))</f>
        <v>0</v>
      </c>
      <c r="S85" s="20">
        <f>IF($B85="",0,IFERROR(Q85*INDEX(사업정보!$G$6:$G$35,MATCH($C85,사업정보!$A$6:$A$35,0))/INDEX(사업정보!$I$6:$I$35,MATCH($C85,사업정보!$A$6:$A$35,0)),0))</f>
        <v>0</v>
      </c>
    </row>
    <row r="86" spans="1:19">
      <c r="A86" s="32" t="str">
        <f>IF($B86="","",IFERROR(INDEX(팀별분석!$R$9:$R$48,MATCH($B86,팀별분석!$Q$9:$Q$48,0)),"명단확인"))</f>
        <v/>
      </c>
      <c r="B86" s="14"/>
      <c r="C86" s="14"/>
      <c r="D86" s="32" t="str">
        <f>IF($C86="","",IFERROR(INDEX(사업정보!$B$6:$B$35,MATCH($C86,사업정보!$A$6:$A$35,0)),"사업명확인"))</f>
        <v/>
      </c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19">
        <f t="shared" si="3"/>
        <v>0</v>
      </c>
      <c r="R86" s="20">
        <f>IF($B86="",0,IFERROR(Q86*INDEX(사업정보!$F$6:$F$35,MATCH($C86,사업정보!$A$6:$A$35,0))/INDEX(사업정보!$I$6:$I$35,MATCH($C86,사업정보!$A$6:$A$35,0)),0))</f>
        <v>0</v>
      </c>
      <c r="S86" s="20">
        <f>IF($B86="",0,IFERROR(Q86*INDEX(사업정보!$G$6:$G$35,MATCH($C86,사업정보!$A$6:$A$35,0))/INDEX(사업정보!$I$6:$I$35,MATCH($C86,사업정보!$A$6:$A$35,0)),0))</f>
        <v>0</v>
      </c>
    </row>
    <row r="87" spans="1:19">
      <c r="A87" s="32" t="str">
        <f>IF($B87="","",IFERROR(INDEX(팀별분석!$R$9:$R$48,MATCH($B87,팀별분석!$Q$9:$Q$48,0)),"명단확인"))</f>
        <v/>
      </c>
      <c r="B87" s="14"/>
      <c r="C87" s="14"/>
      <c r="D87" s="32" t="str">
        <f>IF($C87="","",IFERROR(INDEX(사업정보!$B$6:$B$35,MATCH($C87,사업정보!$A$6:$A$35,0)),"사업명확인"))</f>
        <v/>
      </c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19">
        <f t="shared" si="3"/>
        <v>0</v>
      </c>
      <c r="R87" s="20">
        <f>IF($B87="",0,IFERROR(Q87*INDEX(사업정보!$F$6:$F$35,MATCH($C87,사업정보!$A$6:$A$35,0))/INDEX(사업정보!$I$6:$I$35,MATCH($C87,사업정보!$A$6:$A$35,0)),0))</f>
        <v>0</v>
      </c>
      <c r="S87" s="20">
        <f>IF($B87="",0,IFERROR(Q87*INDEX(사업정보!$G$6:$G$35,MATCH($C87,사업정보!$A$6:$A$35,0))/INDEX(사업정보!$I$6:$I$35,MATCH($C87,사업정보!$A$6:$A$35,0)),0))</f>
        <v>0</v>
      </c>
    </row>
    <row r="88" spans="1:19">
      <c r="A88" s="32" t="str">
        <f>IF($B88="","",IFERROR(INDEX(팀별분석!$R$9:$R$48,MATCH($B88,팀별분석!$Q$9:$Q$48,0)),"명단확인"))</f>
        <v/>
      </c>
      <c r="B88" s="14"/>
      <c r="C88" s="14"/>
      <c r="D88" s="32" t="str">
        <f>IF($C88="","",IFERROR(INDEX(사업정보!$B$6:$B$35,MATCH($C88,사업정보!$A$6:$A$35,0)),"사업명확인"))</f>
        <v/>
      </c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19">
        <f t="shared" si="3"/>
        <v>0</v>
      </c>
      <c r="R88" s="20">
        <f>IF($B88="",0,IFERROR(Q88*INDEX(사업정보!$F$6:$F$35,MATCH($C88,사업정보!$A$6:$A$35,0))/INDEX(사업정보!$I$6:$I$35,MATCH($C88,사업정보!$A$6:$A$35,0)),0))</f>
        <v>0</v>
      </c>
      <c r="S88" s="20">
        <f>IF($B88="",0,IFERROR(Q88*INDEX(사업정보!$G$6:$G$35,MATCH($C88,사업정보!$A$6:$A$35,0))/INDEX(사업정보!$I$6:$I$35,MATCH($C88,사업정보!$A$6:$A$35,0)),0))</f>
        <v>0</v>
      </c>
    </row>
    <row r="89" spans="1:19">
      <c r="A89" s="32" t="str">
        <f>IF($B89="","",IFERROR(INDEX(팀별분석!$R$9:$R$48,MATCH($B89,팀별분석!$Q$9:$Q$48,0)),"명단확인"))</f>
        <v/>
      </c>
      <c r="B89" s="14"/>
      <c r="C89" s="14"/>
      <c r="D89" s="32" t="str">
        <f>IF($C89="","",IFERROR(INDEX(사업정보!$B$6:$B$35,MATCH($C89,사업정보!$A$6:$A$35,0)),"사업명확인"))</f>
        <v/>
      </c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19">
        <f t="shared" si="3"/>
        <v>0</v>
      </c>
      <c r="R89" s="20">
        <f>IF($B89="",0,IFERROR(Q89*INDEX(사업정보!$F$6:$F$35,MATCH($C89,사업정보!$A$6:$A$35,0))/INDEX(사업정보!$I$6:$I$35,MATCH($C89,사업정보!$A$6:$A$35,0)),0))</f>
        <v>0</v>
      </c>
      <c r="S89" s="20">
        <f>IF($B89="",0,IFERROR(Q89*INDEX(사업정보!$G$6:$G$35,MATCH($C89,사업정보!$A$6:$A$35,0))/INDEX(사업정보!$I$6:$I$35,MATCH($C89,사업정보!$A$6:$A$35,0)),0))</f>
        <v>0</v>
      </c>
    </row>
    <row r="90" spans="1:19">
      <c r="A90" s="32" t="str">
        <f>IF($B90="","",IFERROR(INDEX(팀별분석!$R$9:$R$48,MATCH($B90,팀별분석!$Q$9:$Q$48,0)),"명단확인"))</f>
        <v/>
      </c>
      <c r="B90" s="14"/>
      <c r="C90" s="14"/>
      <c r="D90" s="32" t="str">
        <f>IF($C90="","",IFERROR(INDEX(사업정보!$B$6:$B$35,MATCH($C90,사업정보!$A$6:$A$35,0)),"사업명확인"))</f>
        <v/>
      </c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19">
        <f t="shared" si="3"/>
        <v>0</v>
      </c>
      <c r="R90" s="20">
        <f>IF($B90="",0,IFERROR(Q90*INDEX(사업정보!$F$6:$F$35,MATCH($C90,사업정보!$A$6:$A$35,0))/INDEX(사업정보!$I$6:$I$35,MATCH($C90,사업정보!$A$6:$A$35,0)),0))</f>
        <v>0</v>
      </c>
      <c r="S90" s="20">
        <f>IF($B90="",0,IFERROR(Q90*INDEX(사업정보!$G$6:$G$35,MATCH($C90,사업정보!$A$6:$A$35,0))/INDEX(사업정보!$I$6:$I$35,MATCH($C90,사업정보!$A$6:$A$35,0)),0))</f>
        <v>0</v>
      </c>
    </row>
    <row r="91" spans="1:19">
      <c r="A91" s="32" t="str">
        <f>IF($B91="","",IFERROR(INDEX(팀별분석!$R$9:$R$48,MATCH($B91,팀별분석!$Q$9:$Q$48,0)),"명단확인"))</f>
        <v/>
      </c>
      <c r="B91" s="14"/>
      <c r="C91" s="14"/>
      <c r="D91" s="32" t="str">
        <f>IF($C91="","",IFERROR(INDEX(사업정보!$B$6:$B$35,MATCH($C91,사업정보!$A$6:$A$35,0)),"사업명확인"))</f>
        <v/>
      </c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19">
        <f t="shared" si="3"/>
        <v>0</v>
      </c>
      <c r="R91" s="20">
        <f>IF($B91="",0,IFERROR(Q91*INDEX(사업정보!$F$6:$F$35,MATCH($C91,사업정보!$A$6:$A$35,0))/INDEX(사업정보!$I$6:$I$35,MATCH($C91,사업정보!$A$6:$A$35,0)),0))</f>
        <v>0</v>
      </c>
      <c r="S91" s="20">
        <f>IF($B91="",0,IFERROR(Q91*INDEX(사업정보!$G$6:$G$35,MATCH($C91,사업정보!$A$6:$A$35,0))/INDEX(사업정보!$I$6:$I$35,MATCH($C91,사업정보!$A$6:$A$35,0)),0))</f>
        <v>0</v>
      </c>
    </row>
    <row r="92" spans="1:19">
      <c r="A92" s="32" t="str">
        <f>IF($B92="","",IFERROR(INDEX(팀별분석!$R$9:$R$48,MATCH($B92,팀별분석!$Q$9:$Q$48,0)),"명단확인"))</f>
        <v/>
      </c>
      <c r="B92" s="14"/>
      <c r="C92" s="14"/>
      <c r="D92" s="32" t="str">
        <f>IF($C92="","",IFERROR(INDEX(사업정보!$B$6:$B$35,MATCH($C92,사업정보!$A$6:$A$35,0)),"사업명확인"))</f>
        <v/>
      </c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19">
        <f t="shared" si="3"/>
        <v>0</v>
      </c>
      <c r="R92" s="20">
        <f>IF($B92="",0,IFERROR(Q92*INDEX(사업정보!$F$6:$F$35,MATCH($C92,사업정보!$A$6:$A$35,0))/INDEX(사업정보!$I$6:$I$35,MATCH($C92,사업정보!$A$6:$A$35,0)),0))</f>
        <v>0</v>
      </c>
      <c r="S92" s="20">
        <f>IF($B92="",0,IFERROR(Q92*INDEX(사업정보!$G$6:$G$35,MATCH($C92,사업정보!$A$6:$A$35,0))/INDEX(사업정보!$I$6:$I$35,MATCH($C92,사업정보!$A$6:$A$35,0)),0))</f>
        <v>0</v>
      </c>
    </row>
    <row r="93" spans="1:19">
      <c r="A93" s="32" t="str">
        <f>IF($B93="","",IFERROR(INDEX(팀별분석!$R$9:$R$48,MATCH($B93,팀별분석!$Q$9:$Q$48,0)),"명단확인"))</f>
        <v/>
      </c>
      <c r="B93" s="14"/>
      <c r="C93" s="14"/>
      <c r="D93" s="32" t="str">
        <f>IF($C93="","",IFERROR(INDEX(사업정보!$B$6:$B$35,MATCH($C93,사업정보!$A$6:$A$35,0)),"사업명확인"))</f>
        <v/>
      </c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19">
        <f t="shared" si="3"/>
        <v>0</v>
      </c>
      <c r="R93" s="20">
        <f>IF($B93="",0,IFERROR(Q93*INDEX(사업정보!$F$6:$F$35,MATCH($C93,사업정보!$A$6:$A$35,0))/INDEX(사업정보!$I$6:$I$35,MATCH($C93,사업정보!$A$6:$A$35,0)),0))</f>
        <v>0</v>
      </c>
      <c r="S93" s="20">
        <f>IF($B93="",0,IFERROR(Q93*INDEX(사업정보!$G$6:$G$35,MATCH($C93,사업정보!$A$6:$A$35,0))/INDEX(사업정보!$I$6:$I$35,MATCH($C93,사업정보!$A$6:$A$35,0)),0))</f>
        <v>0</v>
      </c>
    </row>
    <row r="94" spans="1:19">
      <c r="A94" s="32" t="str">
        <f>IF($B94="","",IFERROR(INDEX(팀별분석!$R$9:$R$48,MATCH($B94,팀별분석!$Q$9:$Q$48,0)),"명단확인"))</f>
        <v/>
      </c>
      <c r="B94" s="14"/>
      <c r="C94" s="14"/>
      <c r="D94" s="32" t="str">
        <f>IF($C94="","",IFERROR(INDEX(사업정보!$B$6:$B$35,MATCH($C94,사업정보!$A$6:$A$35,0)),"사업명확인"))</f>
        <v/>
      </c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19">
        <f t="shared" si="3"/>
        <v>0</v>
      </c>
      <c r="R94" s="20">
        <f>IF($B94="",0,IFERROR(Q94*INDEX(사업정보!$F$6:$F$35,MATCH($C94,사업정보!$A$6:$A$35,0))/INDEX(사업정보!$I$6:$I$35,MATCH($C94,사업정보!$A$6:$A$35,0)),0))</f>
        <v>0</v>
      </c>
      <c r="S94" s="20">
        <f>IF($B94="",0,IFERROR(Q94*INDEX(사업정보!$G$6:$G$35,MATCH($C94,사업정보!$A$6:$A$35,0))/INDEX(사업정보!$I$6:$I$35,MATCH($C94,사업정보!$A$6:$A$35,0)),0))</f>
        <v>0</v>
      </c>
    </row>
    <row r="95" spans="1:19">
      <c r="A95" s="32" t="str">
        <f>IF($B95="","",IFERROR(INDEX(팀별분석!$R$9:$R$48,MATCH($B95,팀별분석!$Q$9:$Q$48,0)),"명단확인"))</f>
        <v/>
      </c>
      <c r="B95" s="14"/>
      <c r="C95" s="14"/>
      <c r="D95" s="32" t="str">
        <f>IF($C95="","",IFERROR(INDEX(사업정보!$B$6:$B$35,MATCH($C95,사업정보!$A$6:$A$35,0)),"사업명확인"))</f>
        <v/>
      </c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19">
        <f t="shared" si="3"/>
        <v>0</v>
      </c>
      <c r="R95" s="20">
        <f>IF($B95="",0,IFERROR(Q95*INDEX(사업정보!$F$6:$F$35,MATCH($C95,사업정보!$A$6:$A$35,0))/INDEX(사업정보!$I$6:$I$35,MATCH($C95,사업정보!$A$6:$A$35,0)),0))</f>
        <v>0</v>
      </c>
      <c r="S95" s="20">
        <f>IF($B95="",0,IFERROR(Q95*INDEX(사업정보!$G$6:$G$35,MATCH($C95,사업정보!$A$6:$A$35,0))/INDEX(사업정보!$I$6:$I$35,MATCH($C95,사업정보!$A$6:$A$35,0)),0))</f>
        <v>0</v>
      </c>
    </row>
    <row r="96" spans="1:19">
      <c r="A96" s="32" t="str">
        <f>IF($B96="","",IFERROR(INDEX(팀별분석!$R$9:$R$48,MATCH($B96,팀별분석!$Q$9:$Q$48,0)),"명단확인"))</f>
        <v/>
      </c>
      <c r="B96" s="14"/>
      <c r="C96" s="14"/>
      <c r="D96" s="32" t="str">
        <f>IF($C96="","",IFERROR(INDEX(사업정보!$B$6:$B$35,MATCH($C96,사업정보!$A$6:$A$35,0)),"사업명확인"))</f>
        <v/>
      </c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19">
        <f t="shared" si="3"/>
        <v>0</v>
      </c>
      <c r="R96" s="20">
        <f>IF($B96="",0,IFERROR(Q96*INDEX(사업정보!$F$6:$F$35,MATCH($C96,사업정보!$A$6:$A$35,0))/INDEX(사업정보!$I$6:$I$35,MATCH($C96,사업정보!$A$6:$A$35,0)),0))</f>
        <v>0</v>
      </c>
      <c r="S96" s="20">
        <f>IF($B96="",0,IFERROR(Q96*INDEX(사업정보!$G$6:$G$35,MATCH($C96,사업정보!$A$6:$A$35,0))/INDEX(사업정보!$I$6:$I$35,MATCH($C96,사업정보!$A$6:$A$35,0)),0))</f>
        <v>0</v>
      </c>
    </row>
    <row r="97" spans="1:19">
      <c r="A97" s="32" t="str">
        <f>IF($B97="","",IFERROR(INDEX(팀별분석!$R$9:$R$48,MATCH($B97,팀별분석!$Q$9:$Q$48,0)),"명단확인"))</f>
        <v/>
      </c>
      <c r="B97" s="14"/>
      <c r="C97" s="14"/>
      <c r="D97" s="32" t="str">
        <f>IF($C97="","",IFERROR(INDEX(사업정보!$B$6:$B$35,MATCH($C97,사업정보!$A$6:$A$35,0)),"사업명확인"))</f>
        <v/>
      </c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19">
        <f t="shared" si="3"/>
        <v>0</v>
      </c>
      <c r="R97" s="20">
        <f>IF($B97="",0,IFERROR(Q97*INDEX(사업정보!$F$6:$F$35,MATCH($C97,사업정보!$A$6:$A$35,0))/INDEX(사업정보!$I$6:$I$35,MATCH($C97,사업정보!$A$6:$A$35,0)),0))</f>
        <v>0</v>
      </c>
      <c r="S97" s="20">
        <f>IF($B97="",0,IFERROR(Q97*INDEX(사업정보!$G$6:$G$35,MATCH($C97,사업정보!$A$6:$A$35,0))/INDEX(사업정보!$I$6:$I$35,MATCH($C97,사업정보!$A$6:$A$35,0)),0))</f>
        <v>0</v>
      </c>
    </row>
    <row r="98" spans="1:19">
      <c r="A98" s="32" t="str">
        <f>IF($B98="","",IFERROR(INDEX(팀별분석!$R$9:$R$48,MATCH($B98,팀별분석!$Q$9:$Q$48,0)),"명단확인"))</f>
        <v/>
      </c>
      <c r="B98" s="14"/>
      <c r="C98" s="14"/>
      <c r="D98" s="32" t="str">
        <f>IF($C98="","",IFERROR(INDEX(사업정보!$B$6:$B$35,MATCH($C98,사업정보!$A$6:$A$35,0)),"사업명확인"))</f>
        <v/>
      </c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19">
        <f t="shared" si="3"/>
        <v>0</v>
      </c>
      <c r="R98" s="20">
        <f>IF($B98="",0,IFERROR(Q98*INDEX(사업정보!$F$6:$F$35,MATCH($C98,사업정보!$A$6:$A$35,0))/INDEX(사업정보!$I$6:$I$35,MATCH($C98,사업정보!$A$6:$A$35,0)),0))</f>
        <v>0</v>
      </c>
      <c r="S98" s="20">
        <f>IF($B98="",0,IFERROR(Q98*INDEX(사업정보!$G$6:$G$35,MATCH($C98,사업정보!$A$6:$A$35,0))/INDEX(사업정보!$I$6:$I$35,MATCH($C98,사업정보!$A$6:$A$35,0)),0))</f>
        <v>0</v>
      </c>
    </row>
    <row r="99" spans="1:19">
      <c r="A99" s="32" t="str">
        <f>IF($B99="","",IFERROR(INDEX(팀별분석!$R$9:$R$48,MATCH($B99,팀별분석!$Q$9:$Q$48,0)),"명단확인"))</f>
        <v/>
      </c>
      <c r="B99" s="14"/>
      <c r="C99" s="14"/>
      <c r="D99" s="32" t="str">
        <f>IF($C99="","",IFERROR(INDEX(사업정보!$B$6:$B$35,MATCH($C99,사업정보!$A$6:$A$35,0)),"사업명확인"))</f>
        <v/>
      </c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19">
        <f t="shared" si="3"/>
        <v>0</v>
      </c>
      <c r="R99" s="20">
        <f>IF($B99="",0,IFERROR(Q99*INDEX(사업정보!$F$6:$F$35,MATCH($C99,사업정보!$A$6:$A$35,0))/INDEX(사업정보!$I$6:$I$35,MATCH($C99,사업정보!$A$6:$A$35,0)),0))</f>
        <v>0</v>
      </c>
      <c r="S99" s="20">
        <f>IF($B99="",0,IFERROR(Q99*INDEX(사업정보!$G$6:$G$35,MATCH($C99,사업정보!$A$6:$A$35,0))/INDEX(사업정보!$I$6:$I$35,MATCH($C99,사업정보!$A$6:$A$35,0)),0))</f>
        <v>0</v>
      </c>
    </row>
    <row r="100" spans="1:19">
      <c r="A100" s="32" t="str">
        <f>IF($B100="","",IFERROR(INDEX(팀별분석!$R$9:$R$48,MATCH($B100,팀별분석!$Q$9:$Q$48,0)),"명단확인"))</f>
        <v/>
      </c>
      <c r="B100" s="14"/>
      <c r="C100" s="14"/>
      <c r="D100" s="32" t="str">
        <f>IF($C100="","",IFERROR(INDEX(사업정보!$B$6:$B$35,MATCH($C100,사업정보!$A$6:$A$35,0)),"사업명확인"))</f>
        <v/>
      </c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19">
        <f t="shared" si="3"/>
        <v>0</v>
      </c>
      <c r="R100" s="20">
        <f>IF($B100="",0,IFERROR(Q100*INDEX(사업정보!$F$6:$F$35,MATCH($C100,사업정보!$A$6:$A$35,0))/INDEX(사업정보!$I$6:$I$35,MATCH($C100,사업정보!$A$6:$A$35,0)),0))</f>
        <v>0</v>
      </c>
      <c r="S100" s="20">
        <f>IF($B100="",0,IFERROR(Q100*INDEX(사업정보!$G$6:$G$35,MATCH($C100,사업정보!$A$6:$A$35,0))/INDEX(사업정보!$I$6:$I$35,MATCH($C100,사업정보!$A$6:$A$35,0)),0))</f>
        <v>0</v>
      </c>
    </row>
    <row r="101" spans="1:19">
      <c r="A101" s="32" t="str">
        <f>IF($B101="","",IFERROR(INDEX(팀별분석!$R$9:$R$48,MATCH($B101,팀별분석!$Q$9:$Q$48,0)),"명단확인"))</f>
        <v/>
      </c>
      <c r="B101" s="14"/>
      <c r="C101" s="14"/>
      <c r="D101" s="32" t="str">
        <f>IF($C101="","",IFERROR(INDEX(사업정보!$B$6:$B$35,MATCH($C101,사업정보!$A$6:$A$35,0)),"사업명확인"))</f>
        <v/>
      </c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19">
        <f t="shared" si="3"/>
        <v>0</v>
      </c>
      <c r="R101" s="20">
        <f>IF($B101="",0,IFERROR(Q101*INDEX(사업정보!$F$6:$F$35,MATCH($C101,사업정보!$A$6:$A$35,0))/INDEX(사업정보!$I$6:$I$35,MATCH($C101,사업정보!$A$6:$A$35,0)),0))</f>
        <v>0</v>
      </c>
      <c r="S101" s="20">
        <f>IF($B101="",0,IFERROR(Q101*INDEX(사업정보!$G$6:$G$35,MATCH($C101,사업정보!$A$6:$A$35,0))/INDEX(사업정보!$I$6:$I$35,MATCH($C101,사업정보!$A$6:$A$35,0)),0))</f>
        <v>0</v>
      </c>
    </row>
    <row r="102" spans="1:19">
      <c r="A102" s="32" t="str">
        <f>IF($B102="","",IFERROR(INDEX(팀별분석!$R$9:$R$48,MATCH($B102,팀별분석!$Q$9:$Q$48,0)),"명단확인"))</f>
        <v/>
      </c>
      <c r="B102" s="14"/>
      <c r="C102" s="14"/>
      <c r="D102" s="32" t="str">
        <f>IF($C102="","",IFERROR(INDEX(사업정보!$B$6:$B$35,MATCH($C102,사업정보!$A$6:$A$35,0)),"사업명확인"))</f>
        <v/>
      </c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19">
        <f t="shared" si="3"/>
        <v>0</v>
      </c>
      <c r="R102" s="20">
        <f>IF($B102="",0,IFERROR(Q102*INDEX(사업정보!$F$6:$F$35,MATCH($C102,사업정보!$A$6:$A$35,0))/INDEX(사업정보!$I$6:$I$35,MATCH($C102,사업정보!$A$6:$A$35,0)),0))</f>
        <v>0</v>
      </c>
      <c r="S102" s="20">
        <f>IF($B102="",0,IFERROR(Q102*INDEX(사업정보!$G$6:$G$35,MATCH($C102,사업정보!$A$6:$A$35,0))/INDEX(사업정보!$I$6:$I$35,MATCH($C102,사업정보!$A$6:$A$35,0)),0))</f>
        <v>0</v>
      </c>
    </row>
    <row r="103" spans="1:19">
      <c r="A103" s="32" t="str">
        <f>IF($B103="","",IFERROR(INDEX(팀별분석!$R$9:$R$48,MATCH($B103,팀별분석!$Q$9:$Q$48,0)),"명단확인"))</f>
        <v/>
      </c>
      <c r="B103" s="14"/>
      <c r="C103" s="14"/>
      <c r="D103" s="32" t="str">
        <f>IF($C103="","",IFERROR(INDEX(사업정보!$B$6:$B$35,MATCH($C103,사업정보!$A$6:$A$35,0)),"사업명확인"))</f>
        <v/>
      </c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19">
        <f t="shared" si="3"/>
        <v>0</v>
      </c>
      <c r="R103" s="20">
        <f>IF($B103="",0,IFERROR(Q103*INDEX(사업정보!$F$6:$F$35,MATCH($C103,사업정보!$A$6:$A$35,0))/INDEX(사업정보!$I$6:$I$35,MATCH($C103,사업정보!$A$6:$A$35,0)),0))</f>
        <v>0</v>
      </c>
      <c r="S103" s="20">
        <f>IF($B103="",0,IFERROR(Q103*INDEX(사업정보!$G$6:$G$35,MATCH($C103,사업정보!$A$6:$A$35,0))/INDEX(사업정보!$I$6:$I$35,MATCH($C103,사업정보!$A$6:$A$35,0)),0))</f>
        <v>0</v>
      </c>
    </row>
    <row r="104" spans="1:19">
      <c r="A104" s="32" t="str">
        <f>IF($B104="","",IFERROR(INDEX(팀별분석!$R$9:$R$48,MATCH($B104,팀별분석!$Q$9:$Q$48,0)),"명단확인"))</f>
        <v/>
      </c>
      <c r="B104" s="14"/>
      <c r="C104" s="14"/>
      <c r="D104" s="32" t="str">
        <f>IF($C104="","",IFERROR(INDEX(사업정보!$B$6:$B$35,MATCH($C104,사업정보!$A$6:$A$35,0)),"사업명확인"))</f>
        <v/>
      </c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19">
        <f t="shared" ref="Q104:Q127" si="4">IF($B104="",0,SUM(E104:P104))</f>
        <v>0</v>
      </c>
      <c r="R104" s="20">
        <f>IF($B104="",0,IFERROR(Q104*INDEX(사업정보!$F$6:$F$35,MATCH($C104,사업정보!$A$6:$A$35,0))/INDEX(사업정보!$I$6:$I$35,MATCH($C104,사업정보!$A$6:$A$35,0)),0))</f>
        <v>0</v>
      </c>
      <c r="S104" s="20">
        <f>IF($B104="",0,IFERROR(Q104*INDEX(사업정보!$G$6:$G$35,MATCH($C104,사업정보!$A$6:$A$35,0))/INDEX(사업정보!$I$6:$I$35,MATCH($C104,사업정보!$A$6:$A$35,0)),0))</f>
        <v>0</v>
      </c>
    </row>
    <row r="105" spans="1:19">
      <c r="A105" s="32" t="str">
        <f>IF($B105="","",IFERROR(INDEX(팀별분석!$R$9:$R$48,MATCH($B105,팀별분석!$Q$9:$Q$48,0)),"명단확인"))</f>
        <v/>
      </c>
      <c r="B105" s="14"/>
      <c r="C105" s="14"/>
      <c r="D105" s="32" t="str">
        <f>IF($C105="","",IFERROR(INDEX(사업정보!$B$6:$B$35,MATCH($C105,사업정보!$A$6:$A$35,0)),"사업명확인"))</f>
        <v/>
      </c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19">
        <f t="shared" si="4"/>
        <v>0</v>
      </c>
      <c r="R105" s="20">
        <f>IF($B105="",0,IFERROR(Q105*INDEX(사업정보!$F$6:$F$35,MATCH($C105,사업정보!$A$6:$A$35,0))/INDEX(사업정보!$I$6:$I$35,MATCH($C105,사업정보!$A$6:$A$35,0)),0))</f>
        <v>0</v>
      </c>
      <c r="S105" s="20">
        <f>IF($B105="",0,IFERROR(Q105*INDEX(사업정보!$G$6:$G$35,MATCH($C105,사업정보!$A$6:$A$35,0))/INDEX(사업정보!$I$6:$I$35,MATCH($C105,사업정보!$A$6:$A$35,0)),0))</f>
        <v>0</v>
      </c>
    </row>
    <row r="106" spans="1:19">
      <c r="A106" s="32" t="str">
        <f>IF($B106="","",IFERROR(INDEX(팀별분석!$R$9:$R$48,MATCH($B106,팀별분석!$Q$9:$Q$48,0)),"명단확인"))</f>
        <v/>
      </c>
      <c r="B106" s="14"/>
      <c r="C106" s="14"/>
      <c r="D106" s="32" t="str">
        <f>IF($C106="","",IFERROR(INDEX(사업정보!$B$6:$B$35,MATCH($C106,사업정보!$A$6:$A$35,0)),"사업명확인"))</f>
        <v/>
      </c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19">
        <f t="shared" si="4"/>
        <v>0</v>
      </c>
      <c r="R106" s="20">
        <f>IF($B106="",0,IFERROR(Q106*INDEX(사업정보!$F$6:$F$35,MATCH($C106,사업정보!$A$6:$A$35,0))/INDEX(사업정보!$I$6:$I$35,MATCH($C106,사업정보!$A$6:$A$35,0)),0))</f>
        <v>0</v>
      </c>
      <c r="S106" s="20">
        <f>IF($B106="",0,IFERROR(Q106*INDEX(사업정보!$G$6:$G$35,MATCH($C106,사업정보!$A$6:$A$35,0))/INDEX(사업정보!$I$6:$I$35,MATCH($C106,사업정보!$A$6:$A$35,0)),0))</f>
        <v>0</v>
      </c>
    </row>
    <row r="107" spans="1:19">
      <c r="A107" s="32" t="str">
        <f>IF($B107="","",IFERROR(INDEX(팀별분석!$R$9:$R$48,MATCH($B107,팀별분석!$Q$9:$Q$48,0)),"명단확인"))</f>
        <v/>
      </c>
      <c r="B107" s="14"/>
      <c r="C107" s="14"/>
      <c r="D107" s="32" t="str">
        <f>IF($C107="","",IFERROR(INDEX(사업정보!$B$6:$B$35,MATCH($C107,사업정보!$A$6:$A$35,0)),"사업명확인"))</f>
        <v/>
      </c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19">
        <f t="shared" si="4"/>
        <v>0</v>
      </c>
      <c r="R107" s="20">
        <f>IF($B107="",0,IFERROR(Q107*INDEX(사업정보!$F$6:$F$35,MATCH($C107,사업정보!$A$6:$A$35,0))/INDEX(사업정보!$I$6:$I$35,MATCH($C107,사업정보!$A$6:$A$35,0)),0))</f>
        <v>0</v>
      </c>
      <c r="S107" s="20">
        <f>IF($B107="",0,IFERROR(Q107*INDEX(사업정보!$G$6:$G$35,MATCH($C107,사업정보!$A$6:$A$35,0))/INDEX(사업정보!$I$6:$I$35,MATCH($C107,사업정보!$A$6:$A$35,0)),0))</f>
        <v>0</v>
      </c>
    </row>
    <row r="108" spans="1:19">
      <c r="A108" s="32" t="str">
        <f>IF($B108="","",IFERROR(INDEX(팀별분석!$R$9:$R$48,MATCH($B108,팀별분석!$Q$9:$Q$48,0)),"명단확인"))</f>
        <v/>
      </c>
      <c r="B108" s="14"/>
      <c r="C108" s="14"/>
      <c r="D108" s="32" t="str">
        <f>IF($C108="","",IFERROR(INDEX(사업정보!$B$6:$B$35,MATCH($C108,사업정보!$A$6:$A$35,0)),"사업명확인"))</f>
        <v/>
      </c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19">
        <f t="shared" si="4"/>
        <v>0</v>
      </c>
      <c r="R108" s="20">
        <f>IF($B108="",0,IFERROR(Q108*INDEX(사업정보!$F$6:$F$35,MATCH($C108,사업정보!$A$6:$A$35,0))/INDEX(사업정보!$I$6:$I$35,MATCH($C108,사업정보!$A$6:$A$35,0)),0))</f>
        <v>0</v>
      </c>
      <c r="S108" s="20">
        <f>IF($B108="",0,IFERROR(Q108*INDEX(사업정보!$G$6:$G$35,MATCH($C108,사업정보!$A$6:$A$35,0))/INDEX(사업정보!$I$6:$I$35,MATCH($C108,사업정보!$A$6:$A$35,0)),0))</f>
        <v>0</v>
      </c>
    </row>
    <row r="109" spans="1:19">
      <c r="A109" s="32" t="str">
        <f>IF($B109="","",IFERROR(INDEX(팀별분석!$R$9:$R$48,MATCH($B109,팀별분석!$Q$9:$Q$48,0)),"명단확인"))</f>
        <v/>
      </c>
      <c r="B109" s="14"/>
      <c r="C109" s="14"/>
      <c r="D109" s="32" t="str">
        <f>IF($C109="","",IFERROR(INDEX(사업정보!$B$6:$B$35,MATCH($C109,사업정보!$A$6:$A$35,0)),"사업명확인"))</f>
        <v/>
      </c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19">
        <f t="shared" si="4"/>
        <v>0</v>
      </c>
      <c r="R109" s="20">
        <f>IF($B109="",0,IFERROR(Q109*INDEX(사업정보!$F$6:$F$35,MATCH($C109,사업정보!$A$6:$A$35,0))/INDEX(사업정보!$I$6:$I$35,MATCH($C109,사업정보!$A$6:$A$35,0)),0))</f>
        <v>0</v>
      </c>
      <c r="S109" s="20">
        <f>IF($B109="",0,IFERROR(Q109*INDEX(사업정보!$G$6:$G$35,MATCH($C109,사업정보!$A$6:$A$35,0))/INDEX(사업정보!$I$6:$I$35,MATCH($C109,사업정보!$A$6:$A$35,0)),0))</f>
        <v>0</v>
      </c>
    </row>
    <row r="110" spans="1:19">
      <c r="A110" s="32" t="str">
        <f>IF($B110="","",IFERROR(INDEX(팀별분석!$R$9:$R$48,MATCH($B110,팀별분석!$Q$9:$Q$48,0)),"명단확인"))</f>
        <v/>
      </c>
      <c r="B110" s="14"/>
      <c r="C110" s="14"/>
      <c r="D110" s="32" t="str">
        <f>IF($C110="","",IFERROR(INDEX(사업정보!$B$6:$B$35,MATCH($C110,사업정보!$A$6:$A$35,0)),"사업명확인"))</f>
        <v/>
      </c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19">
        <f t="shared" si="4"/>
        <v>0</v>
      </c>
      <c r="R110" s="20">
        <f>IF($B110="",0,IFERROR(Q110*INDEX(사업정보!$F$6:$F$35,MATCH($C110,사업정보!$A$6:$A$35,0))/INDEX(사업정보!$I$6:$I$35,MATCH($C110,사업정보!$A$6:$A$35,0)),0))</f>
        <v>0</v>
      </c>
      <c r="S110" s="20">
        <f>IF($B110="",0,IFERROR(Q110*INDEX(사업정보!$G$6:$G$35,MATCH($C110,사업정보!$A$6:$A$35,0))/INDEX(사업정보!$I$6:$I$35,MATCH($C110,사업정보!$A$6:$A$35,0)),0))</f>
        <v>0</v>
      </c>
    </row>
    <row r="111" spans="1:19">
      <c r="A111" s="32" t="str">
        <f>IF($B111="","",IFERROR(INDEX(팀별분석!$R$9:$R$48,MATCH($B111,팀별분석!$Q$9:$Q$48,0)),"명단확인"))</f>
        <v/>
      </c>
      <c r="B111" s="14"/>
      <c r="C111" s="14"/>
      <c r="D111" s="32" t="str">
        <f>IF($C111="","",IFERROR(INDEX(사업정보!$B$6:$B$35,MATCH($C111,사업정보!$A$6:$A$35,0)),"사업명확인"))</f>
        <v/>
      </c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19">
        <f t="shared" si="4"/>
        <v>0</v>
      </c>
      <c r="R111" s="20">
        <f>IF($B111="",0,IFERROR(Q111*INDEX(사업정보!$F$6:$F$35,MATCH($C111,사업정보!$A$6:$A$35,0))/INDEX(사업정보!$I$6:$I$35,MATCH($C111,사업정보!$A$6:$A$35,0)),0))</f>
        <v>0</v>
      </c>
      <c r="S111" s="20">
        <f>IF($B111="",0,IFERROR(Q111*INDEX(사업정보!$G$6:$G$35,MATCH($C111,사업정보!$A$6:$A$35,0))/INDEX(사업정보!$I$6:$I$35,MATCH($C111,사업정보!$A$6:$A$35,0)),0))</f>
        <v>0</v>
      </c>
    </row>
    <row r="112" spans="1:19">
      <c r="A112" s="32" t="str">
        <f>IF($B112="","",IFERROR(INDEX(팀별분석!$R$9:$R$48,MATCH($B112,팀별분석!$Q$9:$Q$48,0)),"명단확인"))</f>
        <v/>
      </c>
      <c r="B112" s="14"/>
      <c r="C112" s="14"/>
      <c r="D112" s="32" t="str">
        <f>IF($C112="","",IFERROR(INDEX(사업정보!$B$6:$B$35,MATCH($C112,사업정보!$A$6:$A$35,0)),"사업명확인"))</f>
        <v/>
      </c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19">
        <f t="shared" si="4"/>
        <v>0</v>
      </c>
      <c r="R112" s="20">
        <f>IF($B112="",0,IFERROR(Q112*INDEX(사업정보!$F$6:$F$35,MATCH($C112,사업정보!$A$6:$A$35,0))/INDEX(사업정보!$I$6:$I$35,MATCH($C112,사업정보!$A$6:$A$35,0)),0))</f>
        <v>0</v>
      </c>
      <c r="S112" s="20">
        <f>IF($B112="",0,IFERROR(Q112*INDEX(사업정보!$G$6:$G$35,MATCH($C112,사업정보!$A$6:$A$35,0))/INDEX(사업정보!$I$6:$I$35,MATCH($C112,사업정보!$A$6:$A$35,0)),0))</f>
        <v>0</v>
      </c>
    </row>
    <row r="113" spans="1:19">
      <c r="A113" s="32" t="str">
        <f>IF($B113="","",IFERROR(INDEX(팀별분석!$R$9:$R$48,MATCH($B113,팀별분석!$Q$9:$Q$48,0)),"명단확인"))</f>
        <v/>
      </c>
      <c r="B113" s="14"/>
      <c r="C113" s="14"/>
      <c r="D113" s="32" t="str">
        <f>IF($C113="","",IFERROR(INDEX(사업정보!$B$6:$B$35,MATCH($C113,사업정보!$A$6:$A$35,0)),"사업명확인"))</f>
        <v/>
      </c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19">
        <f t="shared" si="4"/>
        <v>0</v>
      </c>
      <c r="R113" s="20">
        <f>IF($B113="",0,IFERROR(Q113*INDEX(사업정보!$F$6:$F$35,MATCH($C113,사업정보!$A$6:$A$35,0))/INDEX(사업정보!$I$6:$I$35,MATCH($C113,사업정보!$A$6:$A$35,0)),0))</f>
        <v>0</v>
      </c>
      <c r="S113" s="20">
        <f>IF($B113="",0,IFERROR(Q113*INDEX(사업정보!$G$6:$G$35,MATCH($C113,사업정보!$A$6:$A$35,0))/INDEX(사업정보!$I$6:$I$35,MATCH($C113,사업정보!$A$6:$A$35,0)),0))</f>
        <v>0</v>
      </c>
    </row>
    <row r="114" spans="1:19">
      <c r="A114" s="32" t="str">
        <f>IF($B114="","",IFERROR(INDEX(팀별분석!$R$9:$R$48,MATCH($B114,팀별분석!$Q$9:$Q$48,0)),"명단확인"))</f>
        <v/>
      </c>
      <c r="B114" s="14"/>
      <c r="C114" s="14"/>
      <c r="D114" s="32" t="str">
        <f>IF($C114="","",IFERROR(INDEX(사업정보!$B$6:$B$35,MATCH($C114,사업정보!$A$6:$A$35,0)),"사업명확인"))</f>
        <v/>
      </c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19">
        <f t="shared" si="4"/>
        <v>0</v>
      </c>
      <c r="R114" s="20">
        <f>IF($B114="",0,IFERROR(Q114*INDEX(사업정보!$F$6:$F$35,MATCH($C114,사업정보!$A$6:$A$35,0))/INDEX(사업정보!$I$6:$I$35,MATCH($C114,사업정보!$A$6:$A$35,0)),0))</f>
        <v>0</v>
      </c>
      <c r="S114" s="20">
        <f>IF($B114="",0,IFERROR(Q114*INDEX(사업정보!$G$6:$G$35,MATCH($C114,사업정보!$A$6:$A$35,0))/INDEX(사업정보!$I$6:$I$35,MATCH($C114,사업정보!$A$6:$A$35,0)),0))</f>
        <v>0</v>
      </c>
    </row>
    <row r="115" spans="1:19">
      <c r="A115" s="32" t="str">
        <f>IF($B115="","",IFERROR(INDEX(팀별분석!$R$9:$R$48,MATCH($B115,팀별분석!$Q$9:$Q$48,0)),"명단확인"))</f>
        <v/>
      </c>
      <c r="B115" s="14"/>
      <c r="C115" s="14"/>
      <c r="D115" s="32" t="str">
        <f>IF($C115="","",IFERROR(INDEX(사업정보!$B$6:$B$35,MATCH($C115,사업정보!$A$6:$A$35,0)),"사업명확인"))</f>
        <v/>
      </c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19">
        <f t="shared" si="4"/>
        <v>0</v>
      </c>
      <c r="R115" s="20">
        <f>IF($B115="",0,IFERROR(Q115*INDEX(사업정보!$F$6:$F$35,MATCH($C115,사업정보!$A$6:$A$35,0))/INDEX(사업정보!$I$6:$I$35,MATCH($C115,사업정보!$A$6:$A$35,0)),0))</f>
        <v>0</v>
      </c>
      <c r="S115" s="20">
        <f>IF($B115="",0,IFERROR(Q115*INDEX(사업정보!$G$6:$G$35,MATCH($C115,사업정보!$A$6:$A$35,0))/INDEX(사업정보!$I$6:$I$35,MATCH($C115,사업정보!$A$6:$A$35,0)),0))</f>
        <v>0</v>
      </c>
    </row>
    <row r="116" spans="1:19">
      <c r="A116" s="32" t="str">
        <f>IF($B116="","",IFERROR(INDEX(팀별분석!$R$9:$R$48,MATCH($B116,팀별분석!$Q$9:$Q$48,0)),"명단확인"))</f>
        <v/>
      </c>
      <c r="B116" s="14"/>
      <c r="C116" s="14"/>
      <c r="D116" s="32" t="str">
        <f>IF($C116="","",IFERROR(INDEX(사업정보!$B$6:$B$35,MATCH($C116,사업정보!$A$6:$A$35,0)),"사업명확인"))</f>
        <v/>
      </c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19">
        <f t="shared" si="4"/>
        <v>0</v>
      </c>
      <c r="R116" s="20">
        <f>IF($B116="",0,IFERROR(Q116*INDEX(사업정보!$F$6:$F$35,MATCH($C116,사업정보!$A$6:$A$35,0))/INDEX(사업정보!$I$6:$I$35,MATCH($C116,사업정보!$A$6:$A$35,0)),0))</f>
        <v>0</v>
      </c>
      <c r="S116" s="20">
        <f>IF($B116="",0,IFERROR(Q116*INDEX(사업정보!$G$6:$G$35,MATCH($C116,사업정보!$A$6:$A$35,0))/INDEX(사업정보!$I$6:$I$35,MATCH($C116,사업정보!$A$6:$A$35,0)),0))</f>
        <v>0</v>
      </c>
    </row>
    <row r="117" spans="1:19">
      <c r="A117" s="32" t="str">
        <f>IF($B117="","",IFERROR(INDEX(팀별분석!$R$9:$R$48,MATCH($B117,팀별분석!$Q$9:$Q$48,0)),"명단확인"))</f>
        <v/>
      </c>
      <c r="B117" s="14"/>
      <c r="C117" s="14"/>
      <c r="D117" s="32" t="str">
        <f>IF($C117="","",IFERROR(INDEX(사업정보!$B$6:$B$35,MATCH($C117,사업정보!$A$6:$A$35,0)),"사업명확인"))</f>
        <v/>
      </c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19">
        <f t="shared" si="4"/>
        <v>0</v>
      </c>
      <c r="R117" s="20">
        <f>IF($B117="",0,IFERROR(Q117*INDEX(사업정보!$F$6:$F$35,MATCH($C117,사업정보!$A$6:$A$35,0))/INDEX(사업정보!$I$6:$I$35,MATCH($C117,사업정보!$A$6:$A$35,0)),0))</f>
        <v>0</v>
      </c>
      <c r="S117" s="20">
        <f>IF($B117="",0,IFERROR(Q117*INDEX(사업정보!$G$6:$G$35,MATCH($C117,사업정보!$A$6:$A$35,0))/INDEX(사업정보!$I$6:$I$35,MATCH($C117,사업정보!$A$6:$A$35,0)),0))</f>
        <v>0</v>
      </c>
    </row>
    <row r="118" spans="1:19">
      <c r="A118" s="32" t="str">
        <f>IF($B118="","",IFERROR(INDEX(팀별분석!$R$9:$R$48,MATCH($B118,팀별분석!$Q$9:$Q$48,0)),"명단확인"))</f>
        <v/>
      </c>
      <c r="B118" s="14"/>
      <c r="C118" s="14"/>
      <c r="D118" s="32" t="str">
        <f>IF($C118="","",IFERROR(INDEX(사업정보!$B$6:$B$35,MATCH($C118,사업정보!$A$6:$A$35,0)),"사업명확인"))</f>
        <v/>
      </c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19">
        <f t="shared" si="4"/>
        <v>0</v>
      </c>
      <c r="R118" s="20">
        <f>IF($B118="",0,IFERROR(Q118*INDEX(사업정보!$F$6:$F$35,MATCH($C118,사업정보!$A$6:$A$35,0))/INDEX(사업정보!$I$6:$I$35,MATCH($C118,사업정보!$A$6:$A$35,0)),0))</f>
        <v>0</v>
      </c>
      <c r="S118" s="20">
        <f>IF($B118="",0,IFERROR(Q118*INDEX(사업정보!$G$6:$G$35,MATCH($C118,사업정보!$A$6:$A$35,0))/INDEX(사업정보!$I$6:$I$35,MATCH($C118,사업정보!$A$6:$A$35,0)),0))</f>
        <v>0</v>
      </c>
    </row>
    <row r="119" spans="1:19">
      <c r="A119" s="32" t="str">
        <f>IF($B119="","",IFERROR(INDEX(팀별분석!$R$9:$R$48,MATCH($B119,팀별분석!$Q$9:$Q$48,0)),"명단확인"))</f>
        <v/>
      </c>
      <c r="B119" s="14"/>
      <c r="C119" s="14"/>
      <c r="D119" s="32" t="str">
        <f>IF($C119="","",IFERROR(INDEX(사업정보!$B$6:$B$35,MATCH($C119,사업정보!$A$6:$A$35,0)),"사업명확인"))</f>
        <v/>
      </c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19">
        <f t="shared" si="4"/>
        <v>0</v>
      </c>
      <c r="R119" s="20">
        <f>IF($B119="",0,IFERROR(Q119*INDEX(사업정보!$F$6:$F$35,MATCH($C119,사업정보!$A$6:$A$35,0))/INDEX(사업정보!$I$6:$I$35,MATCH($C119,사업정보!$A$6:$A$35,0)),0))</f>
        <v>0</v>
      </c>
      <c r="S119" s="20">
        <f>IF($B119="",0,IFERROR(Q119*INDEX(사업정보!$G$6:$G$35,MATCH($C119,사업정보!$A$6:$A$35,0))/INDEX(사업정보!$I$6:$I$35,MATCH($C119,사업정보!$A$6:$A$35,0)),0))</f>
        <v>0</v>
      </c>
    </row>
    <row r="120" spans="1:19">
      <c r="A120" s="32" t="str">
        <f>IF($B120="","",IFERROR(INDEX(팀별분석!$R$9:$R$48,MATCH($B120,팀별분석!$Q$9:$Q$48,0)),"명단확인"))</f>
        <v/>
      </c>
      <c r="B120" s="14"/>
      <c r="C120" s="14"/>
      <c r="D120" s="32" t="str">
        <f>IF($C120="","",IFERROR(INDEX(사업정보!$B$6:$B$35,MATCH($C120,사업정보!$A$6:$A$35,0)),"사업명확인"))</f>
        <v/>
      </c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19">
        <f t="shared" si="4"/>
        <v>0</v>
      </c>
      <c r="R120" s="20">
        <f>IF($B120="",0,IFERROR(Q120*INDEX(사업정보!$F$6:$F$35,MATCH($C120,사업정보!$A$6:$A$35,0))/INDEX(사업정보!$I$6:$I$35,MATCH($C120,사업정보!$A$6:$A$35,0)),0))</f>
        <v>0</v>
      </c>
      <c r="S120" s="20">
        <f>IF($B120="",0,IFERROR(Q120*INDEX(사업정보!$G$6:$G$35,MATCH($C120,사업정보!$A$6:$A$35,0))/INDEX(사업정보!$I$6:$I$35,MATCH($C120,사업정보!$A$6:$A$35,0)),0))</f>
        <v>0</v>
      </c>
    </row>
    <row r="121" spans="1:19">
      <c r="A121" s="32" t="str">
        <f>IF($B121="","",IFERROR(INDEX(팀별분석!$R$9:$R$48,MATCH($B121,팀별분석!$Q$9:$Q$48,0)),"명단확인"))</f>
        <v/>
      </c>
      <c r="B121" s="14"/>
      <c r="C121" s="14"/>
      <c r="D121" s="32" t="str">
        <f>IF($C121="","",IFERROR(INDEX(사업정보!$B$6:$B$35,MATCH($C121,사업정보!$A$6:$A$35,0)),"사업명확인"))</f>
        <v/>
      </c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19">
        <f t="shared" si="4"/>
        <v>0</v>
      </c>
      <c r="R121" s="20">
        <f>IF($B121="",0,IFERROR(Q121*INDEX(사업정보!$F$6:$F$35,MATCH($C121,사업정보!$A$6:$A$35,0))/INDEX(사업정보!$I$6:$I$35,MATCH($C121,사업정보!$A$6:$A$35,0)),0))</f>
        <v>0</v>
      </c>
      <c r="S121" s="20">
        <f>IF($B121="",0,IFERROR(Q121*INDEX(사업정보!$G$6:$G$35,MATCH($C121,사업정보!$A$6:$A$35,0))/INDEX(사업정보!$I$6:$I$35,MATCH($C121,사업정보!$A$6:$A$35,0)),0))</f>
        <v>0</v>
      </c>
    </row>
    <row r="122" spans="1:19">
      <c r="A122" s="32" t="str">
        <f>IF($B122="","",IFERROR(INDEX(팀별분석!$R$9:$R$48,MATCH($B122,팀별분석!$Q$9:$Q$48,0)),"명단확인"))</f>
        <v/>
      </c>
      <c r="B122" s="14"/>
      <c r="C122" s="14"/>
      <c r="D122" s="32" t="str">
        <f>IF($C122="","",IFERROR(INDEX(사업정보!$B$6:$B$35,MATCH($C122,사업정보!$A$6:$A$35,0)),"사업명확인"))</f>
        <v/>
      </c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19">
        <f t="shared" si="4"/>
        <v>0</v>
      </c>
      <c r="R122" s="20">
        <f>IF($B122="",0,IFERROR(Q122*INDEX(사업정보!$F$6:$F$35,MATCH($C122,사업정보!$A$6:$A$35,0))/INDEX(사업정보!$I$6:$I$35,MATCH($C122,사업정보!$A$6:$A$35,0)),0))</f>
        <v>0</v>
      </c>
      <c r="S122" s="20">
        <f>IF($B122="",0,IFERROR(Q122*INDEX(사업정보!$G$6:$G$35,MATCH($C122,사업정보!$A$6:$A$35,0))/INDEX(사업정보!$I$6:$I$35,MATCH($C122,사업정보!$A$6:$A$35,0)),0))</f>
        <v>0</v>
      </c>
    </row>
    <row r="123" spans="1:19">
      <c r="A123" s="32" t="str">
        <f>IF($B123="","",IFERROR(INDEX(팀별분석!$R$9:$R$48,MATCH($B123,팀별분석!$Q$9:$Q$48,0)),"명단확인"))</f>
        <v/>
      </c>
      <c r="B123" s="14"/>
      <c r="C123" s="14"/>
      <c r="D123" s="32" t="str">
        <f>IF($C123="","",IFERROR(INDEX(사업정보!$B$6:$B$35,MATCH($C123,사업정보!$A$6:$A$35,0)),"사업명확인"))</f>
        <v/>
      </c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19">
        <f t="shared" si="4"/>
        <v>0</v>
      </c>
      <c r="R123" s="20">
        <f>IF($B123="",0,IFERROR(Q123*INDEX(사업정보!$F$6:$F$35,MATCH($C123,사업정보!$A$6:$A$35,0))/INDEX(사업정보!$I$6:$I$35,MATCH($C123,사업정보!$A$6:$A$35,0)),0))</f>
        <v>0</v>
      </c>
      <c r="S123" s="20">
        <f>IF($B123="",0,IFERROR(Q123*INDEX(사업정보!$G$6:$G$35,MATCH($C123,사업정보!$A$6:$A$35,0))/INDEX(사업정보!$I$6:$I$35,MATCH($C123,사업정보!$A$6:$A$35,0)),0))</f>
        <v>0</v>
      </c>
    </row>
    <row r="124" spans="1:19">
      <c r="A124" s="32" t="str">
        <f>IF($B124="","",IFERROR(INDEX(팀별분석!$R$9:$R$48,MATCH($B124,팀별분석!$Q$9:$Q$48,0)),"명단확인"))</f>
        <v/>
      </c>
      <c r="B124" s="14"/>
      <c r="C124" s="14"/>
      <c r="D124" s="32" t="str">
        <f>IF($C124="","",IFERROR(INDEX(사업정보!$B$6:$B$35,MATCH($C124,사업정보!$A$6:$A$35,0)),"사업명확인"))</f>
        <v/>
      </c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19">
        <f t="shared" si="4"/>
        <v>0</v>
      </c>
      <c r="R124" s="20">
        <f>IF($B124="",0,IFERROR(Q124*INDEX(사업정보!$F$6:$F$35,MATCH($C124,사업정보!$A$6:$A$35,0))/INDEX(사업정보!$I$6:$I$35,MATCH($C124,사업정보!$A$6:$A$35,0)),0))</f>
        <v>0</v>
      </c>
      <c r="S124" s="20">
        <f>IF($B124="",0,IFERROR(Q124*INDEX(사업정보!$G$6:$G$35,MATCH($C124,사업정보!$A$6:$A$35,0))/INDEX(사업정보!$I$6:$I$35,MATCH($C124,사업정보!$A$6:$A$35,0)),0))</f>
        <v>0</v>
      </c>
    </row>
    <row r="125" spans="1:19">
      <c r="A125" s="32" t="str">
        <f>IF($B125="","",IFERROR(INDEX(팀별분석!$R$9:$R$48,MATCH($B125,팀별분석!$Q$9:$Q$48,0)),"명단확인"))</f>
        <v/>
      </c>
      <c r="B125" s="14"/>
      <c r="C125" s="14"/>
      <c r="D125" s="32" t="str">
        <f>IF($C125="","",IFERROR(INDEX(사업정보!$B$6:$B$35,MATCH($C125,사업정보!$A$6:$A$35,0)),"사업명확인"))</f>
        <v/>
      </c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19">
        <f t="shared" si="4"/>
        <v>0</v>
      </c>
      <c r="R125" s="20">
        <f>IF($B125="",0,IFERROR(Q125*INDEX(사업정보!$F$6:$F$35,MATCH($C125,사업정보!$A$6:$A$35,0))/INDEX(사업정보!$I$6:$I$35,MATCH($C125,사업정보!$A$6:$A$35,0)),0))</f>
        <v>0</v>
      </c>
      <c r="S125" s="20">
        <f>IF($B125="",0,IFERROR(Q125*INDEX(사업정보!$G$6:$G$35,MATCH($C125,사업정보!$A$6:$A$35,0))/INDEX(사업정보!$I$6:$I$35,MATCH($C125,사업정보!$A$6:$A$35,0)),0))</f>
        <v>0</v>
      </c>
    </row>
    <row r="126" spans="1:19">
      <c r="A126" s="32" t="str">
        <f>IF($B126="","",IFERROR(INDEX(팀별분석!$R$9:$R$48,MATCH($B126,팀별분석!$Q$9:$Q$48,0)),"명단확인"))</f>
        <v/>
      </c>
      <c r="B126" s="14"/>
      <c r="C126" s="14"/>
      <c r="D126" s="32" t="str">
        <f>IF($C126="","",IFERROR(INDEX(사업정보!$B$6:$B$35,MATCH($C126,사업정보!$A$6:$A$35,0)),"사업명확인"))</f>
        <v/>
      </c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19">
        <f t="shared" si="4"/>
        <v>0</v>
      </c>
      <c r="R126" s="20">
        <f>IF($B126="",0,IFERROR(Q126*INDEX(사업정보!$F$6:$F$35,MATCH($C126,사업정보!$A$6:$A$35,0))/INDEX(사업정보!$I$6:$I$35,MATCH($C126,사업정보!$A$6:$A$35,0)),0))</f>
        <v>0</v>
      </c>
      <c r="S126" s="20">
        <f>IF($B126="",0,IFERROR(Q126*INDEX(사업정보!$G$6:$G$35,MATCH($C126,사업정보!$A$6:$A$35,0))/INDEX(사업정보!$I$6:$I$35,MATCH($C126,사업정보!$A$6:$A$35,0)),0))</f>
        <v>0</v>
      </c>
    </row>
    <row r="127" spans="1:19">
      <c r="A127" s="32" t="str">
        <f>IF($B127="","",IFERROR(INDEX(팀별분석!$R$9:$R$48,MATCH($B127,팀별분석!$Q$9:$Q$48,0)),"명단확인"))</f>
        <v/>
      </c>
      <c r="B127" s="14"/>
      <c r="C127" s="14"/>
      <c r="D127" s="32" t="str">
        <f>IF($C127="","",IFERROR(INDEX(사업정보!$B$6:$B$35,MATCH($C127,사업정보!$A$6:$A$35,0)),"사업명확인"))</f>
        <v/>
      </c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19">
        <f t="shared" si="4"/>
        <v>0</v>
      </c>
      <c r="R127" s="20">
        <f>IF($B127="",0,IFERROR(Q127*INDEX(사업정보!$F$6:$F$35,MATCH($C127,사업정보!$A$6:$A$35,0))/INDEX(사업정보!$I$6:$I$35,MATCH($C127,사업정보!$A$6:$A$35,0)),0))</f>
        <v>0</v>
      </c>
      <c r="S127" s="20">
        <f>IF($B127="",0,IFERROR(Q127*INDEX(사업정보!$G$6:$G$35,MATCH($C127,사업정보!$A$6:$A$35,0))/INDEX(사업정보!$I$6:$I$35,MATCH($C127,사업정보!$A$6:$A$35,0)),0))</f>
        <v>0</v>
      </c>
    </row>
    <row r="128" spans="1:19">
      <c r="A128" s="21" t="s">
        <v>81</v>
      </c>
      <c r="B128" s="22"/>
      <c r="C128" s="22"/>
      <c r="D128" s="22"/>
      <c r="E128" s="34">
        <f t="shared" ref="E128:S128" si="5">SUM(E8:E127)</f>
        <v>11.6</v>
      </c>
      <c r="F128" s="34">
        <f t="shared" si="5"/>
        <v>11.8</v>
      </c>
      <c r="G128" s="34">
        <f t="shared" si="5"/>
        <v>13.4</v>
      </c>
      <c r="H128" s="34">
        <f t="shared" si="5"/>
        <v>13.3</v>
      </c>
      <c r="I128" s="34">
        <f t="shared" si="5"/>
        <v>12.500000000000002</v>
      </c>
      <c r="J128" s="34">
        <f t="shared" si="5"/>
        <v>11.1</v>
      </c>
      <c r="K128" s="34">
        <f t="shared" si="5"/>
        <v>9.2999999999999989</v>
      </c>
      <c r="L128" s="34">
        <f t="shared" si="5"/>
        <v>7.9999999999999982</v>
      </c>
      <c r="M128" s="34">
        <f t="shared" si="5"/>
        <v>7.9999999999999982</v>
      </c>
      <c r="N128" s="34">
        <f t="shared" si="5"/>
        <v>8.6</v>
      </c>
      <c r="O128" s="34">
        <f t="shared" si="5"/>
        <v>8.6999999999999993</v>
      </c>
      <c r="P128" s="34">
        <f t="shared" si="5"/>
        <v>8.6999999999999993</v>
      </c>
      <c r="Q128" s="25">
        <f t="shared" si="5"/>
        <v>124.99999999999999</v>
      </c>
      <c r="R128" s="23">
        <f t="shared" si="5"/>
        <v>1640000000</v>
      </c>
      <c r="S128" s="23">
        <f t="shared" si="5"/>
        <v>448000000.00000006</v>
      </c>
    </row>
    <row r="131" spans="1:14">
      <c r="A131" s="35" t="s">
        <v>82</v>
      </c>
    </row>
    <row r="132" spans="1:14">
      <c r="A132" s="1" t="s">
        <v>83</v>
      </c>
    </row>
    <row r="133" spans="1:14" ht="30" customHeight="1">
      <c r="A133" s="5" t="s">
        <v>62</v>
      </c>
      <c r="B133" s="29">
        <f t="shared" ref="B133:M133" si="6">E$7</f>
        <v>46023</v>
      </c>
      <c r="C133" s="29">
        <f t="shared" si="6"/>
        <v>46054</v>
      </c>
      <c r="D133" s="29">
        <f t="shared" si="6"/>
        <v>46082</v>
      </c>
      <c r="E133" s="29">
        <f t="shared" si="6"/>
        <v>46113</v>
      </c>
      <c r="F133" s="29">
        <f t="shared" si="6"/>
        <v>46143</v>
      </c>
      <c r="G133" s="29">
        <f t="shared" si="6"/>
        <v>46174</v>
      </c>
      <c r="H133" s="29">
        <f t="shared" si="6"/>
        <v>46204</v>
      </c>
      <c r="I133" s="29">
        <f t="shared" si="6"/>
        <v>46235</v>
      </c>
      <c r="J133" s="29">
        <f t="shared" si="6"/>
        <v>46266</v>
      </c>
      <c r="K133" s="29">
        <f t="shared" si="6"/>
        <v>46296</v>
      </c>
      <c r="L133" s="29">
        <f t="shared" si="6"/>
        <v>46327</v>
      </c>
      <c r="M133" s="29">
        <f t="shared" si="6"/>
        <v>46357</v>
      </c>
      <c r="N133" s="5" t="s">
        <v>84</v>
      </c>
    </row>
    <row r="134" spans="1:14">
      <c r="A134" s="32" t="str">
        <f>IF(팀별분석!Q9="","",팀별분석!Q9)</f>
        <v>홍길동</v>
      </c>
      <c r="B134" s="36">
        <f t="shared" ref="B134:B173" si="7">IF($A134="","",SUMIF($B$8:$B$127,$A134,E$8:E$127))</f>
        <v>1.2</v>
      </c>
      <c r="C134" s="36">
        <f t="shared" ref="C134:C173" si="8">IF($A134="","",SUMIF($B$8:$B$127,$A134,F$8:F$127))</f>
        <v>1.2</v>
      </c>
      <c r="D134" s="36">
        <f t="shared" ref="D134:D173" si="9">IF($A134="","",SUMIF($B$8:$B$127,$A134,G$8:G$127))</f>
        <v>1.2</v>
      </c>
      <c r="E134" s="36">
        <f t="shared" ref="E134:E173" si="10">IF($A134="","",SUMIF($B$8:$B$127,$A134,H$8:H$127))</f>
        <v>1.1000000000000001</v>
      </c>
      <c r="F134" s="36">
        <f t="shared" ref="F134:F173" si="11">IF($A134="","",SUMIF($B$8:$B$127,$A134,I$8:I$127))</f>
        <v>0.90000000000000013</v>
      </c>
      <c r="G134" s="36">
        <f t="shared" ref="G134:G173" si="12">IF($A134="","",SUMIF($B$8:$B$127,$A134,J$8:J$127))</f>
        <v>0.5</v>
      </c>
      <c r="H134" s="36">
        <f t="shared" ref="H134:H173" si="13">IF($A134="","",SUMIF($B$8:$B$127,$A134,K$8:K$127))</f>
        <v>0.2</v>
      </c>
      <c r="I134" s="36">
        <f t="shared" ref="I134:I173" si="14">IF($A134="","",SUMIF($B$8:$B$127,$A134,L$8:L$127))</f>
        <v>0.2</v>
      </c>
      <c r="J134" s="36">
        <f t="shared" ref="J134:J173" si="15">IF($A134="","",SUMIF($B$8:$B$127,$A134,M$8:M$127))</f>
        <v>0.2</v>
      </c>
      <c r="K134" s="36">
        <f t="shared" ref="K134:K173" si="16">IF($A134="","",SUMIF($B$8:$B$127,$A134,N$8:N$127))</f>
        <v>0.2</v>
      </c>
      <c r="L134" s="36">
        <f t="shared" ref="L134:L173" si="17">IF($A134="","",SUMIF($B$8:$B$127,$A134,O$8:O$127))</f>
        <v>0.2</v>
      </c>
      <c r="M134" s="36">
        <f t="shared" ref="M134:M173" si="18">IF($A134="","",SUMIF($B$8:$B$127,$A134,P$8:P$127))</f>
        <v>0.2</v>
      </c>
      <c r="N134" s="37">
        <f t="shared" ref="N134:N173" si="19">IF($A134="","",SUM(B134:M134))</f>
        <v>7.3000000000000007</v>
      </c>
    </row>
    <row r="135" spans="1:14">
      <c r="A135" s="32" t="str">
        <f>IF(팀별분석!Q10="","",팀별분석!Q10)</f>
        <v>김영수</v>
      </c>
      <c r="B135" s="36">
        <f t="shared" si="7"/>
        <v>1.1000000000000001</v>
      </c>
      <c r="C135" s="36">
        <f t="shared" si="8"/>
        <v>1.1000000000000001</v>
      </c>
      <c r="D135" s="36">
        <f t="shared" si="9"/>
        <v>1.1000000000000001</v>
      </c>
      <c r="E135" s="36">
        <f t="shared" si="10"/>
        <v>1.1000000000000001</v>
      </c>
      <c r="F135" s="36">
        <f t="shared" si="11"/>
        <v>1.1000000000000001</v>
      </c>
      <c r="G135" s="36">
        <f t="shared" si="12"/>
        <v>0.7</v>
      </c>
      <c r="H135" s="36">
        <f t="shared" si="13"/>
        <v>1.1000000000000001</v>
      </c>
      <c r="I135" s="36">
        <f t="shared" si="14"/>
        <v>1.1000000000000001</v>
      </c>
      <c r="J135" s="36">
        <f t="shared" si="15"/>
        <v>1.1000000000000001</v>
      </c>
      <c r="K135" s="36">
        <f t="shared" si="16"/>
        <v>1.1000000000000001</v>
      </c>
      <c r="L135" s="36">
        <f t="shared" si="17"/>
        <v>1.1000000000000001</v>
      </c>
      <c r="M135" s="36">
        <f t="shared" si="18"/>
        <v>1.1000000000000001</v>
      </c>
      <c r="N135" s="37">
        <f t="shared" si="19"/>
        <v>12.799999999999999</v>
      </c>
    </row>
    <row r="136" spans="1:14">
      <c r="A136" s="32" t="str">
        <f>IF(팀별분석!Q11="","",팀별분석!Q11)</f>
        <v>박지은</v>
      </c>
      <c r="B136" s="36">
        <f t="shared" si="7"/>
        <v>0.89999999999999991</v>
      </c>
      <c r="C136" s="36">
        <f t="shared" si="8"/>
        <v>0.89999999999999991</v>
      </c>
      <c r="D136" s="36">
        <f t="shared" si="9"/>
        <v>1.1000000000000001</v>
      </c>
      <c r="E136" s="36">
        <f t="shared" si="10"/>
        <v>1.1000000000000001</v>
      </c>
      <c r="F136" s="36">
        <f t="shared" si="11"/>
        <v>1.1000000000000001</v>
      </c>
      <c r="G136" s="36">
        <f t="shared" si="12"/>
        <v>1.1000000000000001</v>
      </c>
      <c r="H136" s="36">
        <f t="shared" si="13"/>
        <v>0.7</v>
      </c>
      <c r="I136" s="36">
        <f t="shared" si="14"/>
        <v>0.89999999999999991</v>
      </c>
      <c r="J136" s="36">
        <f t="shared" si="15"/>
        <v>0.89999999999999991</v>
      </c>
      <c r="K136" s="36">
        <f t="shared" si="16"/>
        <v>0.89999999999999991</v>
      </c>
      <c r="L136" s="36">
        <f t="shared" si="17"/>
        <v>0.89999999999999991</v>
      </c>
      <c r="M136" s="36">
        <f t="shared" si="18"/>
        <v>0.89999999999999991</v>
      </c>
      <c r="N136" s="37">
        <f t="shared" si="19"/>
        <v>11.4</v>
      </c>
    </row>
    <row r="137" spans="1:14">
      <c r="A137" s="32" t="str">
        <f>IF(팀별분석!Q12="","",팀별분석!Q12)</f>
        <v>최민호</v>
      </c>
      <c r="B137" s="36">
        <f t="shared" si="7"/>
        <v>0.9</v>
      </c>
      <c r="C137" s="36">
        <f t="shared" si="8"/>
        <v>0.9</v>
      </c>
      <c r="D137" s="36">
        <f t="shared" si="9"/>
        <v>0.9</v>
      </c>
      <c r="E137" s="36">
        <f t="shared" si="10"/>
        <v>0.9</v>
      </c>
      <c r="F137" s="36">
        <f t="shared" si="11"/>
        <v>0.9</v>
      </c>
      <c r="G137" s="36">
        <f t="shared" si="12"/>
        <v>0.9</v>
      </c>
      <c r="H137" s="36">
        <f t="shared" si="13"/>
        <v>0.7</v>
      </c>
      <c r="I137" s="36">
        <f t="shared" si="14"/>
        <v>0.7</v>
      </c>
      <c r="J137" s="36">
        <f t="shared" si="15"/>
        <v>0.7</v>
      </c>
      <c r="K137" s="36">
        <f t="shared" si="16"/>
        <v>0.7</v>
      </c>
      <c r="L137" s="36">
        <f t="shared" si="17"/>
        <v>0.7</v>
      </c>
      <c r="M137" s="36">
        <f t="shared" si="18"/>
        <v>0.7</v>
      </c>
      <c r="N137" s="37">
        <f t="shared" si="19"/>
        <v>9.6</v>
      </c>
    </row>
    <row r="138" spans="1:14">
      <c r="A138" s="32" t="str">
        <f>IF(팀별분석!Q13="","",팀별분석!Q13)</f>
        <v>정수아</v>
      </c>
      <c r="B138" s="36">
        <f t="shared" si="7"/>
        <v>0.9</v>
      </c>
      <c r="C138" s="36">
        <f t="shared" si="8"/>
        <v>1.1000000000000001</v>
      </c>
      <c r="D138" s="36">
        <f t="shared" si="9"/>
        <v>1.1000000000000001</v>
      </c>
      <c r="E138" s="36">
        <f t="shared" si="10"/>
        <v>1.1000000000000001</v>
      </c>
      <c r="F138" s="36">
        <f t="shared" si="11"/>
        <v>1.1000000000000001</v>
      </c>
      <c r="G138" s="36">
        <f t="shared" si="12"/>
        <v>0.5</v>
      </c>
      <c r="H138" s="36">
        <f t="shared" si="13"/>
        <v>1</v>
      </c>
      <c r="I138" s="36">
        <f t="shared" si="14"/>
        <v>1</v>
      </c>
      <c r="J138" s="36">
        <f t="shared" si="15"/>
        <v>1</v>
      </c>
      <c r="K138" s="36">
        <f t="shared" si="16"/>
        <v>1</v>
      </c>
      <c r="L138" s="36">
        <f t="shared" si="17"/>
        <v>1</v>
      </c>
      <c r="M138" s="36">
        <f t="shared" si="18"/>
        <v>1</v>
      </c>
      <c r="N138" s="37">
        <f t="shared" si="19"/>
        <v>11.8</v>
      </c>
    </row>
    <row r="139" spans="1:14">
      <c r="A139" s="32" t="str">
        <f>IF(팀별분석!Q14="","",팀별분석!Q14)</f>
        <v>김철수</v>
      </c>
      <c r="B139" s="36">
        <f t="shared" si="7"/>
        <v>0.4</v>
      </c>
      <c r="C139" s="36">
        <f t="shared" si="8"/>
        <v>0.4</v>
      </c>
      <c r="D139" s="36">
        <f t="shared" si="9"/>
        <v>0.9</v>
      </c>
      <c r="E139" s="36">
        <f t="shared" si="10"/>
        <v>0.9</v>
      </c>
      <c r="F139" s="36">
        <f t="shared" si="11"/>
        <v>0.9</v>
      </c>
      <c r="G139" s="36">
        <f t="shared" si="12"/>
        <v>0.9</v>
      </c>
      <c r="H139" s="36">
        <f t="shared" si="13"/>
        <v>0.9</v>
      </c>
      <c r="I139" s="36">
        <f t="shared" si="14"/>
        <v>0.5</v>
      </c>
      <c r="J139" s="36">
        <f t="shared" si="15"/>
        <v>0.5</v>
      </c>
      <c r="K139" s="36">
        <f t="shared" si="16"/>
        <v>0.5</v>
      </c>
      <c r="L139" s="36">
        <f t="shared" si="17"/>
        <v>0.5</v>
      </c>
      <c r="M139" s="36">
        <f t="shared" si="18"/>
        <v>0.5</v>
      </c>
      <c r="N139" s="37">
        <f t="shared" si="19"/>
        <v>7.8000000000000007</v>
      </c>
    </row>
    <row r="140" spans="1:14">
      <c r="A140" s="32" t="str">
        <f>IF(팀별분석!Q15="","",팀별분석!Q15)</f>
        <v>이하늘</v>
      </c>
      <c r="B140" s="36">
        <f t="shared" si="7"/>
        <v>0.3</v>
      </c>
      <c r="C140" s="36">
        <f t="shared" si="8"/>
        <v>0.3</v>
      </c>
      <c r="D140" s="36">
        <f t="shared" si="9"/>
        <v>1.1000000000000001</v>
      </c>
      <c r="E140" s="36">
        <f t="shared" si="10"/>
        <v>1.1000000000000001</v>
      </c>
      <c r="F140" s="36">
        <f t="shared" si="11"/>
        <v>1.1000000000000001</v>
      </c>
      <c r="G140" s="36">
        <f t="shared" si="12"/>
        <v>1.1000000000000001</v>
      </c>
      <c r="H140" s="36">
        <f t="shared" si="13"/>
        <v>0.8</v>
      </c>
      <c r="I140" s="36">
        <f t="shared" si="14"/>
        <v>0</v>
      </c>
      <c r="J140" s="36">
        <f t="shared" si="15"/>
        <v>0</v>
      </c>
      <c r="K140" s="36">
        <f t="shared" si="16"/>
        <v>0</v>
      </c>
      <c r="L140" s="36">
        <f t="shared" si="17"/>
        <v>0</v>
      </c>
      <c r="M140" s="36">
        <f t="shared" si="18"/>
        <v>0</v>
      </c>
      <c r="N140" s="37">
        <f t="shared" si="19"/>
        <v>5.8</v>
      </c>
    </row>
    <row r="141" spans="1:14">
      <c r="A141" s="32" t="str">
        <f>IF(팀별분석!Q16="","",팀별분석!Q16)</f>
        <v>오세훈</v>
      </c>
      <c r="B141" s="36">
        <f t="shared" si="7"/>
        <v>0.89999999999999991</v>
      </c>
      <c r="C141" s="36">
        <f t="shared" si="8"/>
        <v>0.89999999999999991</v>
      </c>
      <c r="D141" s="36">
        <f t="shared" si="9"/>
        <v>0.89999999999999991</v>
      </c>
      <c r="E141" s="36">
        <f t="shared" si="10"/>
        <v>0.89999999999999991</v>
      </c>
      <c r="F141" s="36">
        <f t="shared" si="11"/>
        <v>0.89999999999999991</v>
      </c>
      <c r="G141" s="36">
        <f t="shared" si="12"/>
        <v>0.89999999999999991</v>
      </c>
      <c r="H141" s="36">
        <f t="shared" si="13"/>
        <v>0.3</v>
      </c>
      <c r="I141" s="36">
        <f t="shared" si="14"/>
        <v>0.3</v>
      </c>
      <c r="J141" s="36">
        <f t="shared" si="15"/>
        <v>0.3</v>
      </c>
      <c r="K141" s="36">
        <f t="shared" si="16"/>
        <v>0.3</v>
      </c>
      <c r="L141" s="36">
        <f t="shared" si="17"/>
        <v>0.3</v>
      </c>
      <c r="M141" s="36">
        <f t="shared" si="18"/>
        <v>0.3</v>
      </c>
      <c r="N141" s="37">
        <f t="shared" si="19"/>
        <v>7.1999999999999993</v>
      </c>
    </row>
    <row r="142" spans="1:14">
      <c r="A142" s="32" t="str">
        <f>IF(팀별분석!Q17="","",팀별분석!Q17)</f>
        <v>서정민</v>
      </c>
      <c r="B142" s="36">
        <f t="shared" si="7"/>
        <v>0.7</v>
      </c>
      <c r="C142" s="36">
        <f t="shared" si="8"/>
        <v>0.7</v>
      </c>
      <c r="D142" s="36">
        <f t="shared" si="9"/>
        <v>1</v>
      </c>
      <c r="E142" s="36">
        <f t="shared" si="10"/>
        <v>1</v>
      </c>
      <c r="F142" s="36">
        <f t="shared" si="11"/>
        <v>1</v>
      </c>
      <c r="G142" s="36">
        <f t="shared" si="12"/>
        <v>1</v>
      </c>
      <c r="H142" s="36">
        <f t="shared" si="13"/>
        <v>0.3</v>
      </c>
      <c r="I142" s="36">
        <f t="shared" si="14"/>
        <v>0</v>
      </c>
      <c r="J142" s="36">
        <f t="shared" si="15"/>
        <v>0</v>
      </c>
      <c r="K142" s="36">
        <f t="shared" si="16"/>
        <v>0</v>
      </c>
      <c r="L142" s="36">
        <f t="shared" si="17"/>
        <v>0</v>
      </c>
      <c r="M142" s="36">
        <f t="shared" si="18"/>
        <v>0</v>
      </c>
      <c r="N142" s="37">
        <f t="shared" si="19"/>
        <v>5.7</v>
      </c>
    </row>
    <row r="143" spans="1:14">
      <c r="A143" s="32" t="str">
        <f>IF(팀별분석!Q18="","",팀별분석!Q18)</f>
        <v>이영희</v>
      </c>
      <c r="B143" s="36">
        <f t="shared" si="7"/>
        <v>0.6</v>
      </c>
      <c r="C143" s="36">
        <f t="shared" si="8"/>
        <v>0.6</v>
      </c>
      <c r="D143" s="36">
        <f t="shared" si="9"/>
        <v>0.6</v>
      </c>
      <c r="E143" s="36">
        <f t="shared" si="10"/>
        <v>0.6</v>
      </c>
      <c r="F143" s="36">
        <f t="shared" si="11"/>
        <v>0.5</v>
      </c>
      <c r="G143" s="36">
        <f t="shared" si="12"/>
        <v>0.5</v>
      </c>
      <c r="H143" s="36">
        <f t="shared" si="13"/>
        <v>0.5</v>
      </c>
      <c r="I143" s="36">
        <f t="shared" si="14"/>
        <v>0.5</v>
      </c>
      <c r="J143" s="36">
        <f t="shared" si="15"/>
        <v>0.5</v>
      </c>
      <c r="K143" s="36">
        <f t="shared" si="16"/>
        <v>0.5</v>
      </c>
      <c r="L143" s="36">
        <f t="shared" si="17"/>
        <v>0.5</v>
      </c>
      <c r="M143" s="36">
        <f t="shared" si="18"/>
        <v>0.5</v>
      </c>
      <c r="N143" s="37">
        <f t="shared" si="19"/>
        <v>6.4</v>
      </c>
    </row>
    <row r="144" spans="1:14">
      <c r="A144" s="32" t="str">
        <f>IF(팀별분석!Q19="","",팀별분석!Q19)</f>
        <v>한지훈</v>
      </c>
      <c r="B144" s="36">
        <f t="shared" si="7"/>
        <v>0.9</v>
      </c>
      <c r="C144" s="36">
        <f t="shared" si="8"/>
        <v>0.9</v>
      </c>
      <c r="D144" s="36">
        <f t="shared" si="9"/>
        <v>0.9</v>
      </c>
      <c r="E144" s="36">
        <f t="shared" si="10"/>
        <v>0.9</v>
      </c>
      <c r="F144" s="36">
        <f t="shared" si="11"/>
        <v>0.4</v>
      </c>
      <c r="G144" s="36">
        <f t="shared" si="12"/>
        <v>0.4</v>
      </c>
      <c r="H144" s="36">
        <f t="shared" si="13"/>
        <v>0</v>
      </c>
      <c r="I144" s="36">
        <f t="shared" si="14"/>
        <v>0</v>
      </c>
      <c r="J144" s="36">
        <f t="shared" si="15"/>
        <v>0</v>
      </c>
      <c r="K144" s="36">
        <f t="shared" si="16"/>
        <v>0</v>
      </c>
      <c r="L144" s="36">
        <f t="shared" si="17"/>
        <v>0</v>
      </c>
      <c r="M144" s="36">
        <f t="shared" si="18"/>
        <v>0</v>
      </c>
      <c r="N144" s="37">
        <f t="shared" si="19"/>
        <v>4.4000000000000004</v>
      </c>
    </row>
    <row r="145" spans="1:14">
      <c r="A145" s="32" t="str">
        <f>IF(팀별분석!Q20="","",팀별분석!Q20)</f>
        <v>문가영</v>
      </c>
      <c r="B145" s="36">
        <f t="shared" si="7"/>
        <v>0.6</v>
      </c>
      <c r="C145" s="36">
        <f t="shared" si="8"/>
        <v>0.6</v>
      </c>
      <c r="D145" s="36">
        <f t="shared" si="9"/>
        <v>0.6</v>
      </c>
      <c r="E145" s="36">
        <f t="shared" si="10"/>
        <v>0.6</v>
      </c>
      <c r="F145" s="36">
        <f t="shared" si="11"/>
        <v>0.6</v>
      </c>
      <c r="G145" s="36">
        <f t="shared" si="12"/>
        <v>0.6</v>
      </c>
      <c r="H145" s="36">
        <f t="shared" si="13"/>
        <v>0.6</v>
      </c>
      <c r="I145" s="36">
        <f t="shared" si="14"/>
        <v>0.6</v>
      </c>
      <c r="J145" s="36">
        <f t="shared" si="15"/>
        <v>0.6</v>
      </c>
      <c r="K145" s="36">
        <f t="shared" si="16"/>
        <v>0.6</v>
      </c>
      <c r="L145" s="36">
        <f t="shared" si="17"/>
        <v>0.6</v>
      </c>
      <c r="M145" s="36">
        <f t="shared" si="18"/>
        <v>0.6</v>
      </c>
      <c r="N145" s="37">
        <f t="shared" si="19"/>
        <v>7.1999999999999984</v>
      </c>
    </row>
    <row r="146" spans="1:14">
      <c r="A146" s="32" t="str">
        <f>IF(팀별분석!Q21="","",팀별분석!Q21)</f>
        <v>박민수</v>
      </c>
      <c r="B146" s="36">
        <f t="shared" si="7"/>
        <v>0.8</v>
      </c>
      <c r="C146" s="36">
        <f t="shared" si="8"/>
        <v>0.8</v>
      </c>
      <c r="D146" s="36">
        <f t="shared" si="9"/>
        <v>0.6</v>
      </c>
      <c r="E146" s="36">
        <f t="shared" si="10"/>
        <v>0.6</v>
      </c>
      <c r="F146" s="36">
        <f t="shared" si="11"/>
        <v>0.6</v>
      </c>
      <c r="G146" s="36">
        <f t="shared" si="12"/>
        <v>0.6</v>
      </c>
      <c r="H146" s="36">
        <f t="shared" si="13"/>
        <v>0.8</v>
      </c>
      <c r="I146" s="36">
        <f t="shared" si="14"/>
        <v>0.8</v>
      </c>
      <c r="J146" s="36">
        <f t="shared" si="15"/>
        <v>0.8</v>
      </c>
      <c r="K146" s="36">
        <f t="shared" si="16"/>
        <v>1</v>
      </c>
      <c r="L146" s="36">
        <f t="shared" si="17"/>
        <v>1.1000000000000001</v>
      </c>
      <c r="M146" s="36">
        <f t="shared" si="18"/>
        <v>1.1000000000000001</v>
      </c>
      <c r="N146" s="37">
        <f t="shared" si="19"/>
        <v>9.6</v>
      </c>
    </row>
    <row r="147" spans="1:14">
      <c r="A147" s="32" t="str">
        <f>IF(팀별분석!Q22="","",팀별분석!Q22)</f>
        <v>윤소라</v>
      </c>
      <c r="B147" s="36">
        <f t="shared" si="7"/>
        <v>0.8</v>
      </c>
      <c r="C147" s="36">
        <f t="shared" si="8"/>
        <v>0.8</v>
      </c>
      <c r="D147" s="36">
        <f t="shared" si="9"/>
        <v>0.8</v>
      </c>
      <c r="E147" s="36">
        <f t="shared" si="10"/>
        <v>0.8</v>
      </c>
      <c r="F147" s="36">
        <f t="shared" si="11"/>
        <v>0.8</v>
      </c>
      <c r="G147" s="36">
        <f t="shared" si="12"/>
        <v>0.8</v>
      </c>
      <c r="H147" s="36">
        <f t="shared" si="13"/>
        <v>0.8</v>
      </c>
      <c r="I147" s="36">
        <f t="shared" si="14"/>
        <v>0.8</v>
      </c>
      <c r="J147" s="36">
        <f t="shared" si="15"/>
        <v>0.8</v>
      </c>
      <c r="K147" s="36">
        <f t="shared" si="16"/>
        <v>0.8</v>
      </c>
      <c r="L147" s="36">
        <f t="shared" si="17"/>
        <v>0.8</v>
      </c>
      <c r="M147" s="36">
        <f t="shared" si="18"/>
        <v>0.8</v>
      </c>
      <c r="N147" s="37">
        <f t="shared" si="19"/>
        <v>9.6</v>
      </c>
    </row>
    <row r="148" spans="1:14">
      <c r="A148" s="32" t="str">
        <f>IF(팀별분석!Q23="","",팀별분석!Q23)</f>
        <v>강대현</v>
      </c>
      <c r="B148" s="36">
        <f t="shared" si="7"/>
        <v>0.6</v>
      </c>
      <c r="C148" s="36">
        <f t="shared" si="8"/>
        <v>0.6</v>
      </c>
      <c r="D148" s="36">
        <f t="shared" si="9"/>
        <v>0.6</v>
      </c>
      <c r="E148" s="36">
        <f t="shared" si="10"/>
        <v>0.6</v>
      </c>
      <c r="F148" s="36">
        <f t="shared" si="11"/>
        <v>0.6</v>
      </c>
      <c r="G148" s="36">
        <f t="shared" si="12"/>
        <v>0.6</v>
      </c>
      <c r="H148" s="36">
        <f t="shared" si="13"/>
        <v>0.6</v>
      </c>
      <c r="I148" s="36">
        <f t="shared" si="14"/>
        <v>0.6</v>
      </c>
      <c r="J148" s="36">
        <f t="shared" si="15"/>
        <v>0.6</v>
      </c>
      <c r="K148" s="36">
        <f t="shared" si="16"/>
        <v>1</v>
      </c>
      <c r="L148" s="36">
        <f t="shared" si="17"/>
        <v>1</v>
      </c>
      <c r="M148" s="36">
        <f t="shared" si="18"/>
        <v>1</v>
      </c>
      <c r="N148" s="37">
        <f t="shared" si="19"/>
        <v>8.3999999999999986</v>
      </c>
    </row>
    <row r="149" spans="1:14">
      <c r="A149" s="32" t="str">
        <f>IF(팀별분석!Q24="","",팀별분석!Q24)</f>
        <v/>
      </c>
      <c r="B149" s="36" t="str">
        <f t="shared" si="7"/>
        <v/>
      </c>
      <c r="C149" s="36" t="str">
        <f t="shared" si="8"/>
        <v/>
      </c>
      <c r="D149" s="36" t="str">
        <f t="shared" si="9"/>
        <v/>
      </c>
      <c r="E149" s="36" t="str">
        <f t="shared" si="10"/>
        <v/>
      </c>
      <c r="F149" s="36" t="str">
        <f t="shared" si="11"/>
        <v/>
      </c>
      <c r="G149" s="36" t="str">
        <f t="shared" si="12"/>
        <v/>
      </c>
      <c r="H149" s="36" t="str">
        <f t="shared" si="13"/>
        <v/>
      </c>
      <c r="I149" s="36" t="str">
        <f t="shared" si="14"/>
        <v/>
      </c>
      <c r="J149" s="36" t="str">
        <f t="shared" si="15"/>
        <v/>
      </c>
      <c r="K149" s="36" t="str">
        <f t="shared" si="16"/>
        <v/>
      </c>
      <c r="L149" s="36" t="str">
        <f t="shared" si="17"/>
        <v/>
      </c>
      <c r="M149" s="36" t="str">
        <f t="shared" si="18"/>
        <v/>
      </c>
      <c r="N149" s="37" t="str">
        <f t="shared" si="19"/>
        <v/>
      </c>
    </row>
    <row r="150" spans="1:14">
      <c r="A150" s="32" t="str">
        <f>IF(팀별분석!Q25="","",팀별분석!Q25)</f>
        <v/>
      </c>
      <c r="B150" s="36" t="str">
        <f t="shared" si="7"/>
        <v/>
      </c>
      <c r="C150" s="36" t="str">
        <f t="shared" si="8"/>
        <v/>
      </c>
      <c r="D150" s="36" t="str">
        <f t="shared" si="9"/>
        <v/>
      </c>
      <c r="E150" s="36" t="str">
        <f t="shared" si="10"/>
        <v/>
      </c>
      <c r="F150" s="36" t="str">
        <f t="shared" si="11"/>
        <v/>
      </c>
      <c r="G150" s="36" t="str">
        <f t="shared" si="12"/>
        <v/>
      </c>
      <c r="H150" s="36" t="str">
        <f t="shared" si="13"/>
        <v/>
      </c>
      <c r="I150" s="36" t="str">
        <f t="shared" si="14"/>
        <v/>
      </c>
      <c r="J150" s="36" t="str">
        <f t="shared" si="15"/>
        <v/>
      </c>
      <c r="K150" s="36" t="str">
        <f t="shared" si="16"/>
        <v/>
      </c>
      <c r="L150" s="36" t="str">
        <f t="shared" si="17"/>
        <v/>
      </c>
      <c r="M150" s="36" t="str">
        <f t="shared" si="18"/>
        <v/>
      </c>
      <c r="N150" s="37" t="str">
        <f t="shared" si="19"/>
        <v/>
      </c>
    </row>
    <row r="151" spans="1:14">
      <c r="A151" s="32" t="str">
        <f>IF(팀별분석!Q26="","",팀별분석!Q26)</f>
        <v/>
      </c>
      <c r="B151" s="36" t="str">
        <f t="shared" si="7"/>
        <v/>
      </c>
      <c r="C151" s="36" t="str">
        <f t="shared" si="8"/>
        <v/>
      </c>
      <c r="D151" s="36" t="str">
        <f t="shared" si="9"/>
        <v/>
      </c>
      <c r="E151" s="36" t="str">
        <f t="shared" si="10"/>
        <v/>
      </c>
      <c r="F151" s="36" t="str">
        <f t="shared" si="11"/>
        <v/>
      </c>
      <c r="G151" s="36" t="str">
        <f t="shared" si="12"/>
        <v/>
      </c>
      <c r="H151" s="36" t="str">
        <f t="shared" si="13"/>
        <v/>
      </c>
      <c r="I151" s="36" t="str">
        <f t="shared" si="14"/>
        <v/>
      </c>
      <c r="J151" s="36" t="str">
        <f t="shared" si="15"/>
        <v/>
      </c>
      <c r="K151" s="36" t="str">
        <f t="shared" si="16"/>
        <v/>
      </c>
      <c r="L151" s="36" t="str">
        <f t="shared" si="17"/>
        <v/>
      </c>
      <c r="M151" s="36" t="str">
        <f t="shared" si="18"/>
        <v/>
      </c>
      <c r="N151" s="37" t="str">
        <f t="shared" si="19"/>
        <v/>
      </c>
    </row>
    <row r="152" spans="1:14">
      <c r="A152" s="32" t="str">
        <f>IF(팀별분석!Q27="","",팀별분석!Q27)</f>
        <v/>
      </c>
      <c r="B152" s="36" t="str">
        <f t="shared" si="7"/>
        <v/>
      </c>
      <c r="C152" s="36" t="str">
        <f t="shared" si="8"/>
        <v/>
      </c>
      <c r="D152" s="36" t="str">
        <f t="shared" si="9"/>
        <v/>
      </c>
      <c r="E152" s="36" t="str">
        <f t="shared" si="10"/>
        <v/>
      </c>
      <c r="F152" s="36" t="str">
        <f t="shared" si="11"/>
        <v/>
      </c>
      <c r="G152" s="36" t="str">
        <f t="shared" si="12"/>
        <v/>
      </c>
      <c r="H152" s="36" t="str">
        <f t="shared" si="13"/>
        <v/>
      </c>
      <c r="I152" s="36" t="str">
        <f t="shared" si="14"/>
        <v/>
      </c>
      <c r="J152" s="36" t="str">
        <f t="shared" si="15"/>
        <v/>
      </c>
      <c r="K152" s="36" t="str">
        <f t="shared" si="16"/>
        <v/>
      </c>
      <c r="L152" s="36" t="str">
        <f t="shared" si="17"/>
        <v/>
      </c>
      <c r="M152" s="36" t="str">
        <f t="shared" si="18"/>
        <v/>
      </c>
      <c r="N152" s="37" t="str">
        <f t="shared" si="19"/>
        <v/>
      </c>
    </row>
    <row r="153" spans="1:14">
      <c r="A153" s="32" t="str">
        <f>IF(팀별분석!Q28="","",팀별분석!Q28)</f>
        <v/>
      </c>
      <c r="B153" s="36" t="str">
        <f t="shared" si="7"/>
        <v/>
      </c>
      <c r="C153" s="36" t="str">
        <f t="shared" si="8"/>
        <v/>
      </c>
      <c r="D153" s="36" t="str">
        <f t="shared" si="9"/>
        <v/>
      </c>
      <c r="E153" s="36" t="str">
        <f t="shared" si="10"/>
        <v/>
      </c>
      <c r="F153" s="36" t="str">
        <f t="shared" si="11"/>
        <v/>
      </c>
      <c r="G153" s="36" t="str">
        <f t="shared" si="12"/>
        <v/>
      </c>
      <c r="H153" s="36" t="str">
        <f t="shared" si="13"/>
        <v/>
      </c>
      <c r="I153" s="36" t="str">
        <f t="shared" si="14"/>
        <v/>
      </c>
      <c r="J153" s="36" t="str">
        <f t="shared" si="15"/>
        <v/>
      </c>
      <c r="K153" s="36" t="str">
        <f t="shared" si="16"/>
        <v/>
      </c>
      <c r="L153" s="36" t="str">
        <f t="shared" si="17"/>
        <v/>
      </c>
      <c r="M153" s="36" t="str">
        <f t="shared" si="18"/>
        <v/>
      </c>
      <c r="N153" s="37" t="str">
        <f t="shared" si="19"/>
        <v/>
      </c>
    </row>
    <row r="154" spans="1:14">
      <c r="A154" s="32" t="str">
        <f>IF(팀별분석!Q29="","",팀별분석!Q29)</f>
        <v/>
      </c>
      <c r="B154" s="36" t="str">
        <f t="shared" si="7"/>
        <v/>
      </c>
      <c r="C154" s="36" t="str">
        <f t="shared" si="8"/>
        <v/>
      </c>
      <c r="D154" s="36" t="str">
        <f t="shared" si="9"/>
        <v/>
      </c>
      <c r="E154" s="36" t="str">
        <f t="shared" si="10"/>
        <v/>
      </c>
      <c r="F154" s="36" t="str">
        <f t="shared" si="11"/>
        <v/>
      </c>
      <c r="G154" s="36" t="str">
        <f t="shared" si="12"/>
        <v/>
      </c>
      <c r="H154" s="36" t="str">
        <f t="shared" si="13"/>
        <v/>
      </c>
      <c r="I154" s="36" t="str">
        <f t="shared" si="14"/>
        <v/>
      </c>
      <c r="J154" s="36" t="str">
        <f t="shared" si="15"/>
        <v/>
      </c>
      <c r="K154" s="36" t="str">
        <f t="shared" si="16"/>
        <v/>
      </c>
      <c r="L154" s="36" t="str">
        <f t="shared" si="17"/>
        <v/>
      </c>
      <c r="M154" s="36" t="str">
        <f t="shared" si="18"/>
        <v/>
      </c>
      <c r="N154" s="37" t="str">
        <f t="shared" si="19"/>
        <v/>
      </c>
    </row>
    <row r="155" spans="1:14">
      <c r="A155" s="32" t="str">
        <f>IF(팀별분석!Q30="","",팀별분석!Q30)</f>
        <v/>
      </c>
      <c r="B155" s="36" t="str">
        <f t="shared" si="7"/>
        <v/>
      </c>
      <c r="C155" s="36" t="str">
        <f t="shared" si="8"/>
        <v/>
      </c>
      <c r="D155" s="36" t="str">
        <f t="shared" si="9"/>
        <v/>
      </c>
      <c r="E155" s="36" t="str">
        <f t="shared" si="10"/>
        <v/>
      </c>
      <c r="F155" s="36" t="str">
        <f t="shared" si="11"/>
        <v/>
      </c>
      <c r="G155" s="36" t="str">
        <f t="shared" si="12"/>
        <v/>
      </c>
      <c r="H155" s="36" t="str">
        <f t="shared" si="13"/>
        <v/>
      </c>
      <c r="I155" s="36" t="str">
        <f t="shared" si="14"/>
        <v/>
      </c>
      <c r="J155" s="36" t="str">
        <f t="shared" si="15"/>
        <v/>
      </c>
      <c r="K155" s="36" t="str">
        <f t="shared" si="16"/>
        <v/>
      </c>
      <c r="L155" s="36" t="str">
        <f t="shared" si="17"/>
        <v/>
      </c>
      <c r="M155" s="36" t="str">
        <f t="shared" si="18"/>
        <v/>
      </c>
      <c r="N155" s="37" t="str">
        <f t="shared" si="19"/>
        <v/>
      </c>
    </row>
    <row r="156" spans="1:14">
      <c r="A156" s="32" t="str">
        <f>IF(팀별분석!Q31="","",팀별분석!Q31)</f>
        <v/>
      </c>
      <c r="B156" s="36" t="str">
        <f t="shared" si="7"/>
        <v/>
      </c>
      <c r="C156" s="36" t="str">
        <f t="shared" si="8"/>
        <v/>
      </c>
      <c r="D156" s="36" t="str">
        <f t="shared" si="9"/>
        <v/>
      </c>
      <c r="E156" s="36" t="str">
        <f t="shared" si="10"/>
        <v/>
      </c>
      <c r="F156" s="36" t="str">
        <f t="shared" si="11"/>
        <v/>
      </c>
      <c r="G156" s="36" t="str">
        <f t="shared" si="12"/>
        <v/>
      </c>
      <c r="H156" s="36" t="str">
        <f t="shared" si="13"/>
        <v/>
      </c>
      <c r="I156" s="36" t="str">
        <f t="shared" si="14"/>
        <v/>
      </c>
      <c r="J156" s="36" t="str">
        <f t="shared" si="15"/>
        <v/>
      </c>
      <c r="K156" s="36" t="str">
        <f t="shared" si="16"/>
        <v/>
      </c>
      <c r="L156" s="36" t="str">
        <f t="shared" si="17"/>
        <v/>
      </c>
      <c r="M156" s="36" t="str">
        <f t="shared" si="18"/>
        <v/>
      </c>
      <c r="N156" s="37" t="str">
        <f t="shared" si="19"/>
        <v/>
      </c>
    </row>
    <row r="157" spans="1:14">
      <c r="A157" s="32" t="str">
        <f>IF(팀별분석!Q32="","",팀별분석!Q32)</f>
        <v/>
      </c>
      <c r="B157" s="36" t="str">
        <f t="shared" si="7"/>
        <v/>
      </c>
      <c r="C157" s="36" t="str">
        <f t="shared" si="8"/>
        <v/>
      </c>
      <c r="D157" s="36" t="str">
        <f t="shared" si="9"/>
        <v/>
      </c>
      <c r="E157" s="36" t="str">
        <f t="shared" si="10"/>
        <v/>
      </c>
      <c r="F157" s="36" t="str">
        <f t="shared" si="11"/>
        <v/>
      </c>
      <c r="G157" s="36" t="str">
        <f t="shared" si="12"/>
        <v/>
      </c>
      <c r="H157" s="36" t="str">
        <f t="shared" si="13"/>
        <v/>
      </c>
      <c r="I157" s="36" t="str">
        <f t="shared" si="14"/>
        <v/>
      </c>
      <c r="J157" s="36" t="str">
        <f t="shared" si="15"/>
        <v/>
      </c>
      <c r="K157" s="36" t="str">
        <f t="shared" si="16"/>
        <v/>
      </c>
      <c r="L157" s="36" t="str">
        <f t="shared" si="17"/>
        <v/>
      </c>
      <c r="M157" s="36" t="str">
        <f t="shared" si="18"/>
        <v/>
      </c>
      <c r="N157" s="37" t="str">
        <f t="shared" si="19"/>
        <v/>
      </c>
    </row>
    <row r="158" spans="1:14">
      <c r="A158" s="32" t="str">
        <f>IF(팀별분석!Q33="","",팀별분석!Q33)</f>
        <v/>
      </c>
      <c r="B158" s="36" t="str">
        <f t="shared" si="7"/>
        <v/>
      </c>
      <c r="C158" s="36" t="str">
        <f t="shared" si="8"/>
        <v/>
      </c>
      <c r="D158" s="36" t="str">
        <f t="shared" si="9"/>
        <v/>
      </c>
      <c r="E158" s="36" t="str">
        <f t="shared" si="10"/>
        <v/>
      </c>
      <c r="F158" s="36" t="str">
        <f t="shared" si="11"/>
        <v/>
      </c>
      <c r="G158" s="36" t="str">
        <f t="shared" si="12"/>
        <v/>
      </c>
      <c r="H158" s="36" t="str">
        <f t="shared" si="13"/>
        <v/>
      </c>
      <c r="I158" s="36" t="str">
        <f t="shared" si="14"/>
        <v/>
      </c>
      <c r="J158" s="36" t="str">
        <f t="shared" si="15"/>
        <v/>
      </c>
      <c r="K158" s="36" t="str">
        <f t="shared" si="16"/>
        <v/>
      </c>
      <c r="L158" s="36" t="str">
        <f t="shared" si="17"/>
        <v/>
      </c>
      <c r="M158" s="36" t="str">
        <f t="shared" si="18"/>
        <v/>
      </c>
      <c r="N158" s="37" t="str">
        <f t="shared" si="19"/>
        <v/>
      </c>
    </row>
    <row r="159" spans="1:14">
      <c r="A159" s="32" t="str">
        <f>IF(팀별분석!Q34="","",팀별분석!Q34)</f>
        <v/>
      </c>
      <c r="B159" s="36" t="str">
        <f t="shared" si="7"/>
        <v/>
      </c>
      <c r="C159" s="36" t="str">
        <f t="shared" si="8"/>
        <v/>
      </c>
      <c r="D159" s="36" t="str">
        <f t="shared" si="9"/>
        <v/>
      </c>
      <c r="E159" s="36" t="str">
        <f t="shared" si="10"/>
        <v/>
      </c>
      <c r="F159" s="36" t="str">
        <f t="shared" si="11"/>
        <v/>
      </c>
      <c r="G159" s="36" t="str">
        <f t="shared" si="12"/>
        <v/>
      </c>
      <c r="H159" s="36" t="str">
        <f t="shared" si="13"/>
        <v/>
      </c>
      <c r="I159" s="36" t="str">
        <f t="shared" si="14"/>
        <v/>
      </c>
      <c r="J159" s="36" t="str">
        <f t="shared" si="15"/>
        <v/>
      </c>
      <c r="K159" s="36" t="str">
        <f t="shared" si="16"/>
        <v/>
      </c>
      <c r="L159" s="36" t="str">
        <f t="shared" si="17"/>
        <v/>
      </c>
      <c r="M159" s="36" t="str">
        <f t="shared" si="18"/>
        <v/>
      </c>
      <c r="N159" s="37" t="str">
        <f t="shared" si="19"/>
        <v/>
      </c>
    </row>
    <row r="160" spans="1:14">
      <c r="A160" s="32" t="str">
        <f>IF(팀별분석!Q35="","",팀별분석!Q35)</f>
        <v/>
      </c>
      <c r="B160" s="36" t="str">
        <f t="shared" si="7"/>
        <v/>
      </c>
      <c r="C160" s="36" t="str">
        <f t="shared" si="8"/>
        <v/>
      </c>
      <c r="D160" s="36" t="str">
        <f t="shared" si="9"/>
        <v/>
      </c>
      <c r="E160" s="36" t="str">
        <f t="shared" si="10"/>
        <v/>
      </c>
      <c r="F160" s="36" t="str">
        <f t="shared" si="11"/>
        <v/>
      </c>
      <c r="G160" s="36" t="str">
        <f t="shared" si="12"/>
        <v/>
      </c>
      <c r="H160" s="36" t="str">
        <f t="shared" si="13"/>
        <v/>
      </c>
      <c r="I160" s="36" t="str">
        <f t="shared" si="14"/>
        <v/>
      </c>
      <c r="J160" s="36" t="str">
        <f t="shared" si="15"/>
        <v/>
      </c>
      <c r="K160" s="36" t="str">
        <f t="shared" si="16"/>
        <v/>
      </c>
      <c r="L160" s="36" t="str">
        <f t="shared" si="17"/>
        <v/>
      </c>
      <c r="M160" s="36" t="str">
        <f t="shared" si="18"/>
        <v/>
      </c>
      <c r="N160" s="37" t="str">
        <f t="shared" si="19"/>
        <v/>
      </c>
    </row>
    <row r="161" spans="1:14">
      <c r="A161" s="32" t="str">
        <f>IF(팀별분석!Q36="","",팀별분석!Q36)</f>
        <v/>
      </c>
      <c r="B161" s="36" t="str">
        <f t="shared" si="7"/>
        <v/>
      </c>
      <c r="C161" s="36" t="str">
        <f t="shared" si="8"/>
        <v/>
      </c>
      <c r="D161" s="36" t="str">
        <f t="shared" si="9"/>
        <v/>
      </c>
      <c r="E161" s="36" t="str">
        <f t="shared" si="10"/>
        <v/>
      </c>
      <c r="F161" s="36" t="str">
        <f t="shared" si="11"/>
        <v/>
      </c>
      <c r="G161" s="36" t="str">
        <f t="shared" si="12"/>
        <v/>
      </c>
      <c r="H161" s="36" t="str">
        <f t="shared" si="13"/>
        <v/>
      </c>
      <c r="I161" s="36" t="str">
        <f t="shared" si="14"/>
        <v/>
      </c>
      <c r="J161" s="36" t="str">
        <f t="shared" si="15"/>
        <v/>
      </c>
      <c r="K161" s="36" t="str">
        <f t="shared" si="16"/>
        <v/>
      </c>
      <c r="L161" s="36" t="str">
        <f t="shared" si="17"/>
        <v/>
      </c>
      <c r="M161" s="36" t="str">
        <f t="shared" si="18"/>
        <v/>
      </c>
      <c r="N161" s="37" t="str">
        <f t="shared" si="19"/>
        <v/>
      </c>
    </row>
    <row r="162" spans="1:14">
      <c r="A162" s="32" t="str">
        <f>IF(팀별분석!Q37="","",팀별분석!Q37)</f>
        <v/>
      </c>
      <c r="B162" s="36" t="str">
        <f t="shared" si="7"/>
        <v/>
      </c>
      <c r="C162" s="36" t="str">
        <f t="shared" si="8"/>
        <v/>
      </c>
      <c r="D162" s="36" t="str">
        <f t="shared" si="9"/>
        <v/>
      </c>
      <c r="E162" s="36" t="str">
        <f t="shared" si="10"/>
        <v/>
      </c>
      <c r="F162" s="36" t="str">
        <f t="shared" si="11"/>
        <v/>
      </c>
      <c r="G162" s="36" t="str">
        <f t="shared" si="12"/>
        <v/>
      </c>
      <c r="H162" s="36" t="str">
        <f t="shared" si="13"/>
        <v/>
      </c>
      <c r="I162" s="36" t="str">
        <f t="shared" si="14"/>
        <v/>
      </c>
      <c r="J162" s="36" t="str">
        <f t="shared" si="15"/>
        <v/>
      </c>
      <c r="K162" s="36" t="str">
        <f t="shared" si="16"/>
        <v/>
      </c>
      <c r="L162" s="36" t="str">
        <f t="shared" si="17"/>
        <v/>
      </c>
      <c r="M162" s="36" t="str">
        <f t="shared" si="18"/>
        <v/>
      </c>
      <c r="N162" s="37" t="str">
        <f t="shared" si="19"/>
        <v/>
      </c>
    </row>
    <row r="163" spans="1:14">
      <c r="A163" s="32" t="str">
        <f>IF(팀별분석!Q38="","",팀별분석!Q38)</f>
        <v/>
      </c>
      <c r="B163" s="36" t="str">
        <f t="shared" si="7"/>
        <v/>
      </c>
      <c r="C163" s="36" t="str">
        <f t="shared" si="8"/>
        <v/>
      </c>
      <c r="D163" s="36" t="str">
        <f t="shared" si="9"/>
        <v/>
      </c>
      <c r="E163" s="36" t="str">
        <f t="shared" si="10"/>
        <v/>
      </c>
      <c r="F163" s="36" t="str">
        <f t="shared" si="11"/>
        <v/>
      </c>
      <c r="G163" s="36" t="str">
        <f t="shared" si="12"/>
        <v/>
      </c>
      <c r="H163" s="36" t="str">
        <f t="shared" si="13"/>
        <v/>
      </c>
      <c r="I163" s="36" t="str">
        <f t="shared" si="14"/>
        <v/>
      </c>
      <c r="J163" s="36" t="str">
        <f t="shared" si="15"/>
        <v/>
      </c>
      <c r="K163" s="36" t="str">
        <f t="shared" si="16"/>
        <v/>
      </c>
      <c r="L163" s="36" t="str">
        <f t="shared" si="17"/>
        <v/>
      </c>
      <c r="M163" s="36" t="str">
        <f t="shared" si="18"/>
        <v/>
      </c>
      <c r="N163" s="37" t="str">
        <f t="shared" si="19"/>
        <v/>
      </c>
    </row>
    <row r="164" spans="1:14">
      <c r="A164" s="32" t="str">
        <f>IF(팀별분석!Q39="","",팀별분석!Q39)</f>
        <v/>
      </c>
      <c r="B164" s="36" t="str">
        <f t="shared" si="7"/>
        <v/>
      </c>
      <c r="C164" s="36" t="str">
        <f t="shared" si="8"/>
        <v/>
      </c>
      <c r="D164" s="36" t="str">
        <f t="shared" si="9"/>
        <v/>
      </c>
      <c r="E164" s="36" t="str">
        <f t="shared" si="10"/>
        <v/>
      </c>
      <c r="F164" s="36" t="str">
        <f t="shared" si="11"/>
        <v/>
      </c>
      <c r="G164" s="36" t="str">
        <f t="shared" si="12"/>
        <v/>
      </c>
      <c r="H164" s="36" t="str">
        <f t="shared" si="13"/>
        <v/>
      </c>
      <c r="I164" s="36" t="str">
        <f t="shared" si="14"/>
        <v/>
      </c>
      <c r="J164" s="36" t="str">
        <f t="shared" si="15"/>
        <v/>
      </c>
      <c r="K164" s="36" t="str">
        <f t="shared" si="16"/>
        <v/>
      </c>
      <c r="L164" s="36" t="str">
        <f t="shared" si="17"/>
        <v/>
      </c>
      <c r="M164" s="36" t="str">
        <f t="shared" si="18"/>
        <v/>
      </c>
      <c r="N164" s="37" t="str">
        <f t="shared" si="19"/>
        <v/>
      </c>
    </row>
    <row r="165" spans="1:14">
      <c r="A165" s="32" t="str">
        <f>IF(팀별분석!Q40="","",팀별분석!Q40)</f>
        <v/>
      </c>
      <c r="B165" s="36" t="str">
        <f t="shared" si="7"/>
        <v/>
      </c>
      <c r="C165" s="36" t="str">
        <f t="shared" si="8"/>
        <v/>
      </c>
      <c r="D165" s="36" t="str">
        <f t="shared" si="9"/>
        <v/>
      </c>
      <c r="E165" s="36" t="str">
        <f t="shared" si="10"/>
        <v/>
      </c>
      <c r="F165" s="36" t="str">
        <f t="shared" si="11"/>
        <v/>
      </c>
      <c r="G165" s="36" t="str">
        <f t="shared" si="12"/>
        <v/>
      </c>
      <c r="H165" s="36" t="str">
        <f t="shared" si="13"/>
        <v/>
      </c>
      <c r="I165" s="36" t="str">
        <f t="shared" si="14"/>
        <v/>
      </c>
      <c r="J165" s="36" t="str">
        <f t="shared" si="15"/>
        <v/>
      </c>
      <c r="K165" s="36" t="str">
        <f t="shared" si="16"/>
        <v/>
      </c>
      <c r="L165" s="36" t="str">
        <f t="shared" si="17"/>
        <v/>
      </c>
      <c r="M165" s="36" t="str">
        <f t="shared" si="18"/>
        <v/>
      </c>
      <c r="N165" s="37" t="str">
        <f t="shared" si="19"/>
        <v/>
      </c>
    </row>
    <row r="166" spans="1:14">
      <c r="A166" s="32" t="str">
        <f>IF(팀별분석!Q41="","",팀별분석!Q41)</f>
        <v/>
      </c>
      <c r="B166" s="36" t="str">
        <f t="shared" si="7"/>
        <v/>
      </c>
      <c r="C166" s="36" t="str">
        <f t="shared" si="8"/>
        <v/>
      </c>
      <c r="D166" s="36" t="str">
        <f t="shared" si="9"/>
        <v/>
      </c>
      <c r="E166" s="36" t="str">
        <f t="shared" si="10"/>
        <v/>
      </c>
      <c r="F166" s="36" t="str">
        <f t="shared" si="11"/>
        <v/>
      </c>
      <c r="G166" s="36" t="str">
        <f t="shared" si="12"/>
        <v/>
      </c>
      <c r="H166" s="36" t="str">
        <f t="shared" si="13"/>
        <v/>
      </c>
      <c r="I166" s="36" t="str">
        <f t="shared" si="14"/>
        <v/>
      </c>
      <c r="J166" s="36" t="str">
        <f t="shared" si="15"/>
        <v/>
      </c>
      <c r="K166" s="36" t="str">
        <f t="shared" si="16"/>
        <v/>
      </c>
      <c r="L166" s="36" t="str">
        <f t="shared" si="17"/>
        <v/>
      </c>
      <c r="M166" s="36" t="str">
        <f t="shared" si="18"/>
        <v/>
      </c>
      <c r="N166" s="37" t="str">
        <f t="shared" si="19"/>
        <v/>
      </c>
    </row>
    <row r="167" spans="1:14">
      <c r="A167" s="32" t="str">
        <f>IF(팀별분석!Q42="","",팀별분석!Q42)</f>
        <v/>
      </c>
      <c r="B167" s="36" t="str">
        <f t="shared" si="7"/>
        <v/>
      </c>
      <c r="C167" s="36" t="str">
        <f t="shared" si="8"/>
        <v/>
      </c>
      <c r="D167" s="36" t="str">
        <f t="shared" si="9"/>
        <v/>
      </c>
      <c r="E167" s="36" t="str">
        <f t="shared" si="10"/>
        <v/>
      </c>
      <c r="F167" s="36" t="str">
        <f t="shared" si="11"/>
        <v/>
      </c>
      <c r="G167" s="36" t="str">
        <f t="shared" si="12"/>
        <v/>
      </c>
      <c r="H167" s="36" t="str">
        <f t="shared" si="13"/>
        <v/>
      </c>
      <c r="I167" s="36" t="str">
        <f t="shared" si="14"/>
        <v/>
      </c>
      <c r="J167" s="36" t="str">
        <f t="shared" si="15"/>
        <v/>
      </c>
      <c r="K167" s="36" t="str">
        <f t="shared" si="16"/>
        <v/>
      </c>
      <c r="L167" s="36" t="str">
        <f t="shared" si="17"/>
        <v/>
      </c>
      <c r="M167" s="36" t="str">
        <f t="shared" si="18"/>
        <v/>
      </c>
      <c r="N167" s="37" t="str">
        <f t="shared" si="19"/>
        <v/>
      </c>
    </row>
    <row r="168" spans="1:14">
      <c r="A168" s="32" t="str">
        <f>IF(팀별분석!Q43="","",팀별분석!Q43)</f>
        <v/>
      </c>
      <c r="B168" s="36" t="str">
        <f t="shared" si="7"/>
        <v/>
      </c>
      <c r="C168" s="36" t="str">
        <f t="shared" si="8"/>
        <v/>
      </c>
      <c r="D168" s="36" t="str">
        <f t="shared" si="9"/>
        <v/>
      </c>
      <c r="E168" s="36" t="str">
        <f t="shared" si="10"/>
        <v/>
      </c>
      <c r="F168" s="36" t="str">
        <f t="shared" si="11"/>
        <v/>
      </c>
      <c r="G168" s="36" t="str">
        <f t="shared" si="12"/>
        <v/>
      </c>
      <c r="H168" s="36" t="str">
        <f t="shared" si="13"/>
        <v/>
      </c>
      <c r="I168" s="36" t="str">
        <f t="shared" si="14"/>
        <v/>
      </c>
      <c r="J168" s="36" t="str">
        <f t="shared" si="15"/>
        <v/>
      </c>
      <c r="K168" s="36" t="str">
        <f t="shared" si="16"/>
        <v/>
      </c>
      <c r="L168" s="36" t="str">
        <f t="shared" si="17"/>
        <v/>
      </c>
      <c r="M168" s="36" t="str">
        <f t="shared" si="18"/>
        <v/>
      </c>
      <c r="N168" s="37" t="str">
        <f t="shared" si="19"/>
        <v/>
      </c>
    </row>
    <row r="169" spans="1:14">
      <c r="A169" s="32" t="str">
        <f>IF(팀별분석!Q44="","",팀별분석!Q44)</f>
        <v/>
      </c>
      <c r="B169" s="36" t="str">
        <f t="shared" si="7"/>
        <v/>
      </c>
      <c r="C169" s="36" t="str">
        <f t="shared" si="8"/>
        <v/>
      </c>
      <c r="D169" s="36" t="str">
        <f t="shared" si="9"/>
        <v/>
      </c>
      <c r="E169" s="36" t="str">
        <f t="shared" si="10"/>
        <v/>
      </c>
      <c r="F169" s="36" t="str">
        <f t="shared" si="11"/>
        <v/>
      </c>
      <c r="G169" s="36" t="str">
        <f t="shared" si="12"/>
        <v/>
      </c>
      <c r="H169" s="36" t="str">
        <f t="shared" si="13"/>
        <v/>
      </c>
      <c r="I169" s="36" t="str">
        <f t="shared" si="14"/>
        <v/>
      </c>
      <c r="J169" s="36" t="str">
        <f t="shared" si="15"/>
        <v/>
      </c>
      <c r="K169" s="36" t="str">
        <f t="shared" si="16"/>
        <v/>
      </c>
      <c r="L169" s="36" t="str">
        <f t="shared" si="17"/>
        <v/>
      </c>
      <c r="M169" s="36" t="str">
        <f t="shared" si="18"/>
        <v/>
      </c>
      <c r="N169" s="37" t="str">
        <f t="shared" si="19"/>
        <v/>
      </c>
    </row>
    <row r="170" spans="1:14">
      <c r="A170" s="32" t="str">
        <f>IF(팀별분석!Q45="","",팀별분석!Q45)</f>
        <v/>
      </c>
      <c r="B170" s="36" t="str">
        <f t="shared" si="7"/>
        <v/>
      </c>
      <c r="C170" s="36" t="str">
        <f t="shared" si="8"/>
        <v/>
      </c>
      <c r="D170" s="36" t="str">
        <f t="shared" si="9"/>
        <v/>
      </c>
      <c r="E170" s="36" t="str">
        <f t="shared" si="10"/>
        <v/>
      </c>
      <c r="F170" s="36" t="str">
        <f t="shared" si="11"/>
        <v/>
      </c>
      <c r="G170" s="36" t="str">
        <f t="shared" si="12"/>
        <v/>
      </c>
      <c r="H170" s="36" t="str">
        <f t="shared" si="13"/>
        <v/>
      </c>
      <c r="I170" s="36" t="str">
        <f t="shared" si="14"/>
        <v/>
      </c>
      <c r="J170" s="36" t="str">
        <f t="shared" si="15"/>
        <v/>
      </c>
      <c r="K170" s="36" t="str">
        <f t="shared" si="16"/>
        <v/>
      </c>
      <c r="L170" s="36" t="str">
        <f t="shared" si="17"/>
        <v/>
      </c>
      <c r="M170" s="36" t="str">
        <f t="shared" si="18"/>
        <v/>
      </c>
      <c r="N170" s="37" t="str">
        <f t="shared" si="19"/>
        <v/>
      </c>
    </row>
    <row r="171" spans="1:14">
      <c r="A171" s="32" t="str">
        <f>IF(팀별분석!Q46="","",팀별분석!Q46)</f>
        <v/>
      </c>
      <c r="B171" s="36" t="str">
        <f t="shared" si="7"/>
        <v/>
      </c>
      <c r="C171" s="36" t="str">
        <f t="shared" si="8"/>
        <v/>
      </c>
      <c r="D171" s="36" t="str">
        <f t="shared" si="9"/>
        <v/>
      </c>
      <c r="E171" s="36" t="str">
        <f t="shared" si="10"/>
        <v/>
      </c>
      <c r="F171" s="36" t="str">
        <f t="shared" si="11"/>
        <v/>
      </c>
      <c r="G171" s="36" t="str">
        <f t="shared" si="12"/>
        <v/>
      </c>
      <c r="H171" s="36" t="str">
        <f t="shared" si="13"/>
        <v/>
      </c>
      <c r="I171" s="36" t="str">
        <f t="shared" si="14"/>
        <v/>
      </c>
      <c r="J171" s="36" t="str">
        <f t="shared" si="15"/>
        <v/>
      </c>
      <c r="K171" s="36" t="str">
        <f t="shared" si="16"/>
        <v/>
      </c>
      <c r="L171" s="36" t="str">
        <f t="shared" si="17"/>
        <v/>
      </c>
      <c r="M171" s="36" t="str">
        <f t="shared" si="18"/>
        <v/>
      </c>
      <c r="N171" s="37" t="str">
        <f t="shared" si="19"/>
        <v/>
      </c>
    </row>
    <row r="172" spans="1:14">
      <c r="A172" s="32" t="str">
        <f>IF(팀별분석!Q47="","",팀별분석!Q47)</f>
        <v/>
      </c>
      <c r="B172" s="36" t="str">
        <f t="shared" si="7"/>
        <v/>
      </c>
      <c r="C172" s="36" t="str">
        <f t="shared" si="8"/>
        <v/>
      </c>
      <c r="D172" s="36" t="str">
        <f t="shared" si="9"/>
        <v/>
      </c>
      <c r="E172" s="36" t="str">
        <f t="shared" si="10"/>
        <v/>
      </c>
      <c r="F172" s="36" t="str">
        <f t="shared" si="11"/>
        <v/>
      </c>
      <c r="G172" s="36" t="str">
        <f t="shared" si="12"/>
        <v/>
      </c>
      <c r="H172" s="36" t="str">
        <f t="shared" si="13"/>
        <v/>
      </c>
      <c r="I172" s="36" t="str">
        <f t="shared" si="14"/>
        <v/>
      </c>
      <c r="J172" s="36" t="str">
        <f t="shared" si="15"/>
        <v/>
      </c>
      <c r="K172" s="36" t="str">
        <f t="shared" si="16"/>
        <v/>
      </c>
      <c r="L172" s="36" t="str">
        <f t="shared" si="17"/>
        <v/>
      </c>
      <c r="M172" s="36" t="str">
        <f t="shared" si="18"/>
        <v/>
      </c>
      <c r="N172" s="37" t="str">
        <f t="shared" si="19"/>
        <v/>
      </c>
    </row>
    <row r="173" spans="1:14">
      <c r="A173" s="32" t="str">
        <f>IF(팀별분석!Q48="","",팀별분석!Q48)</f>
        <v/>
      </c>
      <c r="B173" s="36" t="str">
        <f t="shared" si="7"/>
        <v/>
      </c>
      <c r="C173" s="36" t="str">
        <f t="shared" si="8"/>
        <v/>
      </c>
      <c r="D173" s="36" t="str">
        <f t="shared" si="9"/>
        <v/>
      </c>
      <c r="E173" s="36" t="str">
        <f t="shared" si="10"/>
        <v/>
      </c>
      <c r="F173" s="36" t="str">
        <f t="shared" si="11"/>
        <v/>
      </c>
      <c r="G173" s="36" t="str">
        <f t="shared" si="12"/>
        <v/>
      </c>
      <c r="H173" s="36" t="str">
        <f t="shared" si="13"/>
        <v/>
      </c>
      <c r="I173" s="36" t="str">
        <f t="shared" si="14"/>
        <v/>
      </c>
      <c r="J173" s="36" t="str">
        <f t="shared" si="15"/>
        <v/>
      </c>
      <c r="K173" s="36" t="str">
        <f t="shared" si="16"/>
        <v/>
      </c>
      <c r="L173" s="36" t="str">
        <f t="shared" si="17"/>
        <v/>
      </c>
      <c r="M173" s="36" t="str">
        <f t="shared" si="18"/>
        <v/>
      </c>
      <c r="N173" s="37" t="str">
        <f t="shared" si="19"/>
        <v/>
      </c>
    </row>
    <row r="175" spans="1:14">
      <c r="A175" s="1" t="s">
        <v>85</v>
      </c>
    </row>
    <row r="176" spans="1:14">
      <c r="A176" s="1" t="s">
        <v>86</v>
      </c>
    </row>
    <row r="177" spans="1:1">
      <c r="A177" s="1" t="s">
        <v>87</v>
      </c>
    </row>
    <row r="178" spans="1:1">
      <c r="A178" s="1" t="s">
        <v>88</v>
      </c>
    </row>
  </sheetData>
  <phoneticPr fontId="32" type="noConversion"/>
  <conditionalFormatting sqref="B134:M173">
    <cfRule type="cellIs" dxfId="22" priority="2" operator="greaterThan">
      <formula>1.2</formula>
    </cfRule>
    <cfRule type="cellIs" dxfId="21" priority="3" operator="between">
      <formula>1.0001</formula>
      <formula>1.2</formula>
    </cfRule>
    <cfRule type="cellIs" dxfId="20" priority="4" operator="between">
      <formula>0.0001</formula>
      <formula>0.7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200-000000000000}">
          <x14:formula1>
            <xm:f>팀별분석!$Q$9:$Q$48</xm:f>
          </x14:formula1>
          <x14:formula2>
            <xm:f>0</xm:f>
          </x14:formula2>
          <xm:sqref>B8:B127</xm:sqref>
        </x14:dataValidation>
        <x14:dataValidation type="list" allowBlank="1" xr:uid="{00000000-0002-0000-0200-000001000000}">
          <x14:formula1>
            <xm:f>사업정보!$A$6:$A$35</xm:f>
          </x14:formula1>
          <x14:formula2>
            <xm:f>0</xm:f>
          </x14:formula2>
          <xm:sqref>C8:C127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9"/>
  <sheetViews>
    <sheetView topLeftCell="A60" zoomScaleNormal="100" workbookViewId="0">
      <selection activeCell="D39" sqref="D39"/>
    </sheetView>
  </sheetViews>
  <sheetFormatPr defaultColWidth="8.7109375" defaultRowHeight="15"/>
  <cols>
    <col min="1" max="1" width="24" customWidth="1"/>
    <col min="2" max="3" width="13" customWidth="1"/>
    <col min="4" max="4" width="19" customWidth="1"/>
    <col min="5" max="5" width="17" customWidth="1"/>
    <col min="6" max="6" width="13" customWidth="1"/>
    <col min="7" max="8" width="16" customWidth="1"/>
    <col min="9" max="9" width="18" customWidth="1"/>
    <col min="10" max="12" width="13" customWidth="1"/>
    <col min="13" max="13" width="16" customWidth="1"/>
    <col min="14" max="14" width="13" customWidth="1"/>
    <col min="16" max="16" width="5" customWidth="1"/>
    <col min="17" max="17" width="16" customWidth="1"/>
    <col min="18" max="18" width="24" customWidth="1"/>
  </cols>
  <sheetData>
    <row r="1" spans="1:18" ht="18">
      <c r="A1" s="4" t="s">
        <v>89</v>
      </c>
    </row>
    <row r="2" spans="1:18">
      <c r="A2" s="1" t="s">
        <v>157</v>
      </c>
    </row>
    <row r="4" spans="1:18">
      <c r="A4" s="27" t="s">
        <v>91</v>
      </c>
      <c r="B4" s="38">
        <v>0.85</v>
      </c>
      <c r="C4" s="1" t="s">
        <v>92</v>
      </c>
    </row>
    <row r="5" spans="1:18">
      <c r="A5" s="27" t="s">
        <v>93</v>
      </c>
      <c r="B5" s="58">
        <f ca="1">MONTH(TODAY())</f>
        <v>8</v>
      </c>
      <c r="C5" s="1" t="s">
        <v>94</v>
      </c>
    </row>
    <row r="6" spans="1:18">
      <c r="A6" s="27" t="s">
        <v>7</v>
      </c>
      <c r="B6" s="39">
        <f ca="1">$B$5/12</f>
        <v>0.66666666666666663</v>
      </c>
      <c r="C6" s="1" t="s">
        <v>95</v>
      </c>
      <c r="P6" s="2" t="s">
        <v>96</v>
      </c>
    </row>
    <row r="7" spans="1:18">
      <c r="P7" s="1" t="s">
        <v>97</v>
      </c>
    </row>
    <row r="8" spans="1:18" ht="25.5" customHeight="1">
      <c r="A8" s="2" t="s">
        <v>98</v>
      </c>
      <c r="P8" s="6" t="s">
        <v>99</v>
      </c>
      <c r="Q8" s="5" t="s">
        <v>62</v>
      </c>
      <c r="R8" s="5" t="s">
        <v>100</v>
      </c>
    </row>
    <row r="9" spans="1:18" ht="30" customHeight="1">
      <c r="A9" s="5" t="s">
        <v>61</v>
      </c>
      <c r="B9" s="5" t="s">
        <v>101</v>
      </c>
      <c r="C9" s="5" t="s">
        <v>102</v>
      </c>
      <c r="D9" s="5" t="s">
        <v>103</v>
      </c>
      <c r="E9" s="5" t="s">
        <v>104</v>
      </c>
      <c r="F9" s="5" t="s">
        <v>152</v>
      </c>
      <c r="P9" s="40">
        <v>1</v>
      </c>
      <c r="Q9" s="7" t="s">
        <v>66</v>
      </c>
      <c r="R9" s="7" t="s">
        <v>105</v>
      </c>
    </row>
    <row r="10" spans="1:18">
      <c r="A10" s="7" t="s">
        <v>105</v>
      </c>
      <c r="B10" s="41">
        <v>5</v>
      </c>
      <c r="C10" s="12">
        <f t="shared" ref="C10:C17" si="0">IF($A10="",0,$B10*$B$4)</f>
        <v>4.25</v>
      </c>
      <c r="D10" s="12">
        <f t="shared" ref="D10:D17" si="1">IF($A10="",0,$C10*12)</f>
        <v>51</v>
      </c>
      <c r="E10" s="42">
        <v>1000000000</v>
      </c>
      <c r="F10" s="42">
        <v>250000000</v>
      </c>
      <c r="P10" s="40">
        <v>2</v>
      </c>
      <c r="Q10" s="7" t="s">
        <v>67</v>
      </c>
      <c r="R10" s="7" t="s">
        <v>105</v>
      </c>
    </row>
    <row r="11" spans="1:18">
      <c r="A11" s="7" t="s">
        <v>106</v>
      </c>
      <c r="B11" s="41">
        <v>4</v>
      </c>
      <c r="C11" s="12">
        <f t="shared" si="0"/>
        <v>3.4</v>
      </c>
      <c r="D11" s="12">
        <f t="shared" si="1"/>
        <v>40.799999999999997</v>
      </c>
      <c r="E11" s="42">
        <v>500000000</v>
      </c>
      <c r="F11" s="42">
        <v>125000000</v>
      </c>
      <c r="P11" s="40">
        <v>3</v>
      </c>
      <c r="Q11" s="7" t="s">
        <v>68</v>
      </c>
      <c r="R11" s="7" t="s">
        <v>105</v>
      </c>
    </row>
    <row r="12" spans="1:18">
      <c r="A12" s="7" t="s">
        <v>107</v>
      </c>
      <c r="B12" s="41">
        <v>3</v>
      </c>
      <c r="C12" s="12">
        <f t="shared" si="0"/>
        <v>2.5499999999999998</v>
      </c>
      <c r="D12" s="12">
        <f t="shared" si="1"/>
        <v>30.599999999999998</v>
      </c>
      <c r="E12" s="42">
        <v>250000000</v>
      </c>
      <c r="F12" s="42">
        <v>62500000</v>
      </c>
      <c r="P12" s="40">
        <v>4</v>
      </c>
      <c r="Q12" s="7" t="s">
        <v>69</v>
      </c>
      <c r="R12" s="7" t="s">
        <v>105</v>
      </c>
    </row>
    <row r="13" spans="1:18">
      <c r="A13" s="7" t="s">
        <v>108</v>
      </c>
      <c r="B13" s="41">
        <v>3</v>
      </c>
      <c r="C13" s="12">
        <f t="shared" si="0"/>
        <v>2.5499999999999998</v>
      </c>
      <c r="D13" s="12">
        <f t="shared" si="1"/>
        <v>30.599999999999998</v>
      </c>
      <c r="E13" s="42">
        <v>10000000</v>
      </c>
      <c r="F13" s="42">
        <v>2500000</v>
      </c>
      <c r="P13" s="40">
        <v>5</v>
      </c>
      <c r="Q13" s="7" t="s">
        <v>70</v>
      </c>
      <c r="R13" s="7" t="s">
        <v>105</v>
      </c>
    </row>
    <row r="14" spans="1:18">
      <c r="A14" s="14"/>
      <c r="B14" s="41"/>
      <c r="C14" s="19">
        <f t="shared" si="0"/>
        <v>0</v>
      </c>
      <c r="D14" s="19">
        <f t="shared" si="1"/>
        <v>0</v>
      </c>
      <c r="E14" s="42"/>
      <c r="F14" s="42"/>
      <c r="P14" s="40">
        <v>6</v>
      </c>
      <c r="Q14" s="7" t="s">
        <v>71</v>
      </c>
      <c r="R14" s="7" t="s">
        <v>106</v>
      </c>
    </row>
    <row r="15" spans="1:18">
      <c r="A15" s="14"/>
      <c r="B15" s="41"/>
      <c r="C15" s="19">
        <f t="shared" si="0"/>
        <v>0</v>
      </c>
      <c r="D15" s="19">
        <f t="shared" si="1"/>
        <v>0</v>
      </c>
      <c r="E15" s="42"/>
      <c r="F15" s="42"/>
      <c r="P15" s="40">
        <v>7</v>
      </c>
      <c r="Q15" s="7" t="s">
        <v>72</v>
      </c>
      <c r="R15" s="7" t="s">
        <v>106</v>
      </c>
    </row>
    <row r="16" spans="1:18">
      <c r="A16" s="14"/>
      <c r="B16" s="41"/>
      <c r="C16" s="19">
        <f t="shared" si="0"/>
        <v>0</v>
      </c>
      <c r="D16" s="19">
        <f t="shared" si="1"/>
        <v>0</v>
      </c>
      <c r="E16" s="42"/>
      <c r="F16" s="42"/>
      <c r="P16" s="40">
        <v>8</v>
      </c>
      <c r="Q16" s="7" t="s">
        <v>73</v>
      </c>
      <c r="R16" s="7" t="s">
        <v>106</v>
      </c>
    </row>
    <row r="17" spans="1:18">
      <c r="A17" s="14"/>
      <c r="B17" s="41"/>
      <c r="C17" s="19">
        <f t="shared" si="0"/>
        <v>0</v>
      </c>
      <c r="D17" s="19">
        <f t="shared" si="1"/>
        <v>0</v>
      </c>
      <c r="E17" s="42"/>
      <c r="F17" s="42"/>
      <c r="P17" s="40">
        <v>9</v>
      </c>
      <c r="Q17" s="7" t="s">
        <v>74</v>
      </c>
      <c r="R17" s="7" t="s">
        <v>106</v>
      </c>
    </row>
    <row r="18" spans="1:18">
      <c r="A18" s="21" t="s">
        <v>51</v>
      </c>
      <c r="B18" s="43">
        <f>SUM(B10:B17)</f>
        <v>15</v>
      </c>
      <c r="C18" s="25">
        <f>SUM(C10:C17)</f>
        <v>12.75</v>
      </c>
      <c r="D18" s="25">
        <f>SUM(D10:D17)</f>
        <v>153</v>
      </c>
      <c r="E18" s="23">
        <f>SUM(E10:E17)</f>
        <v>1760000000</v>
      </c>
      <c r="F18" s="23">
        <f>SUM(F10:F17)</f>
      </c>
      <c r="P18" s="40">
        <v>10</v>
      </c>
      <c r="Q18" s="7" t="s">
        <v>75</v>
      </c>
      <c r="R18" s="7" t="s">
        <v>107</v>
      </c>
    </row>
    <row r="19" spans="1:18">
      <c r="A19" s="1" t="s">
        <v>156</v>
      </c>
      <c r="P19" s="40">
        <v>11</v>
      </c>
      <c r="Q19" s="7" t="s">
        <v>76</v>
      </c>
      <c r="R19" s="7" t="s">
        <v>107</v>
      </c>
    </row>
    <row r="20" spans="1:18">
      <c r="A20" s="1" t="s">
        <v>109</v>
      </c>
      <c r="P20" s="40">
        <v>12</v>
      </c>
      <c r="Q20" s="7" t="s">
        <v>77</v>
      </c>
      <c r="R20" s="7" t="s">
        <v>107</v>
      </c>
    </row>
    <row r="21" spans="1:18">
      <c r="A21" s="26" t="s">
        <v>110</v>
      </c>
      <c r="P21" s="40">
        <v>13</v>
      </c>
      <c r="Q21" s="7" t="s">
        <v>78</v>
      </c>
      <c r="R21" s="7" t="s">
        <v>108</v>
      </c>
    </row>
    <row r="22" spans="1:18">
      <c r="A22" s="2" t="s">
        <v>111</v>
      </c>
      <c r="P22" s="40">
        <v>14</v>
      </c>
      <c r="Q22" s="7" t="s">
        <v>79</v>
      </c>
      <c r="R22" s="7" t="s">
        <v>108</v>
      </c>
    </row>
    <row r="23" spans="1:18" ht="30" customHeight="1">
      <c r="A23" s="5" t="s">
        <v>61</v>
      </c>
      <c r="B23" s="29">
        <f>월간투입!E$7</f>
        <v>46023</v>
      </c>
      <c r="C23" s="29">
        <f>월간투입!F$7</f>
        <v>46054</v>
      </c>
      <c r="D23" s="29">
        <f>월간투입!G$7</f>
        <v>46082</v>
      </c>
      <c r="E23" s="29">
        <f>월간투입!H$7</f>
        <v>46113</v>
      </c>
      <c r="F23" s="29">
        <f>월간투입!I$7</f>
        <v>46143</v>
      </c>
      <c r="G23" s="29">
        <f>월간투입!J$7</f>
        <v>46174</v>
      </c>
      <c r="H23" s="29">
        <f>월간투입!K$7</f>
        <v>46204</v>
      </c>
      <c r="I23" s="29">
        <f>월간투입!L$7</f>
        <v>46235</v>
      </c>
      <c r="J23" s="29">
        <f>월간투입!M$7</f>
        <v>46266</v>
      </c>
      <c r="K23" s="29">
        <f>월간투입!N$7</f>
        <v>46296</v>
      </c>
      <c r="L23" s="29">
        <f>월간투입!O$7</f>
        <v>46327</v>
      </c>
      <c r="M23" s="29">
        <f>월간투입!P$7</f>
        <v>46357</v>
      </c>
      <c r="N23" s="5" t="s">
        <v>112</v>
      </c>
      <c r="P23" s="40">
        <v>15</v>
      </c>
      <c r="Q23" s="7" t="s">
        <v>80</v>
      </c>
      <c r="R23" s="7" t="s">
        <v>108</v>
      </c>
    </row>
    <row r="24" spans="1:18">
      <c r="A24" s="32" t="str">
        <f t="shared" ref="A24:A31" si="2">IF($A10="","",$A10)</f>
        <v>사업운영팀 기획1파트</v>
      </c>
      <c r="B24" s="19">
        <f>SUMIF(월간투입!$A$8:$A$127,$A24,월간투입!E$8:E$127)</f>
        <v>5</v>
      </c>
      <c r="C24" s="19">
        <f>SUMIF(월간투입!$A$8:$A$127,$A24,월간투입!F$8:F$127)</f>
        <v>5.1999999999999993</v>
      </c>
      <c r="D24" s="19">
        <f>SUMIF(월간투입!$A$8:$A$127,$A24,월간투입!G$8:G$127)</f>
        <v>5.3999999999999986</v>
      </c>
      <c r="E24" s="19">
        <f>SUMIF(월간투입!$A$8:$A$127,$A24,월간투입!H$8:H$127)</f>
        <v>5.2999999999999989</v>
      </c>
      <c r="F24" s="19">
        <f>SUMIF(월간투입!$A$8:$A$127,$A24,월간투입!I$8:I$127)</f>
        <v>5.0999999999999996</v>
      </c>
      <c r="G24" s="19">
        <f>SUMIF(월간투입!$A$8:$A$127,$A24,월간투입!J$8:J$127)</f>
        <v>3.6999999999999997</v>
      </c>
      <c r="H24" s="19">
        <f>SUMIF(월간투입!$A$8:$A$127,$A24,월간투입!K$8:K$127)</f>
        <v>3.6999999999999997</v>
      </c>
      <c r="I24" s="19">
        <f>SUMIF(월간투입!$A$8:$A$127,$A24,월간투입!L$8:L$127)</f>
        <v>3.8999999999999995</v>
      </c>
      <c r="J24" s="19">
        <f>SUMIF(월간투입!$A$8:$A$127,$A24,월간투입!M$8:M$127)</f>
        <v>3.8999999999999995</v>
      </c>
      <c r="K24" s="19">
        <f>SUMIF(월간투입!$A$8:$A$127,$A24,월간투입!N$8:N$127)</f>
        <v>3.8999999999999995</v>
      </c>
      <c r="L24" s="19">
        <f>SUMIF(월간투입!$A$8:$A$127,$A24,월간투입!O$8:O$127)</f>
        <v>3.8999999999999995</v>
      </c>
      <c r="M24" s="19">
        <f>SUMIF(월간투입!$A$8:$A$127,$A24,월간투입!P$8:P$127)</f>
        <v>3.8999999999999995</v>
      </c>
      <c r="N24" s="37">
        <f t="shared" ref="N24:N31" si="3">SUM(B24:M24)</f>
        <v>52.899999999999991</v>
      </c>
      <c r="P24" s="44">
        <v>16</v>
      </c>
      <c r="Q24" s="14"/>
      <c r="R24" s="14"/>
    </row>
    <row r="25" spans="1:18">
      <c r="A25" s="32" t="str">
        <f t="shared" si="2"/>
        <v>사업운영팀 기획2파트</v>
      </c>
      <c r="B25" s="19">
        <f>SUMIF(월간투입!$A$8:$A$127,$A25,월간투입!E$8:E$127)</f>
        <v>2.2999999999999998</v>
      </c>
      <c r="C25" s="19">
        <f>SUMIF(월간투입!$A$8:$A$127,$A25,월간투입!F$8:F$127)</f>
        <v>2.2999999999999998</v>
      </c>
      <c r="D25" s="19">
        <f>SUMIF(월간투입!$A$8:$A$127,$A25,월간투입!G$8:G$127)</f>
        <v>3.8999999999999995</v>
      </c>
      <c r="E25" s="19">
        <f>SUMIF(월간투입!$A$8:$A$127,$A25,월간투입!H$8:H$127)</f>
        <v>3.8999999999999995</v>
      </c>
      <c r="F25" s="19">
        <f>SUMIF(월간투입!$A$8:$A$127,$A25,월간투입!I$8:I$127)</f>
        <v>3.8999999999999995</v>
      </c>
      <c r="G25" s="19">
        <f>SUMIF(월간투입!$A$8:$A$127,$A25,월간투입!J$8:J$127)</f>
        <v>3.8999999999999995</v>
      </c>
      <c r="H25" s="19">
        <f>SUMIF(월간투입!$A$8:$A$127,$A25,월간투입!K$8:K$127)</f>
        <v>2.2999999999999998</v>
      </c>
      <c r="I25" s="19">
        <f>SUMIF(월간투입!$A$8:$A$127,$A25,월간투입!L$8:L$127)</f>
        <v>0.8</v>
      </c>
      <c r="J25" s="19">
        <f>SUMIF(월간투입!$A$8:$A$127,$A25,월간투입!M$8:M$127)</f>
        <v>0.8</v>
      </c>
      <c r="K25" s="19">
        <f>SUMIF(월간투입!$A$8:$A$127,$A25,월간투입!N$8:N$127)</f>
        <v>0.8</v>
      </c>
      <c r="L25" s="19">
        <f>SUMIF(월간투입!$A$8:$A$127,$A25,월간투입!O$8:O$127)</f>
        <v>0.8</v>
      </c>
      <c r="M25" s="19">
        <f>SUMIF(월간투입!$A$8:$A$127,$A25,월간투입!P$8:P$127)</f>
        <v>0.8</v>
      </c>
      <c r="N25" s="37">
        <f t="shared" si="3"/>
        <v>26.5</v>
      </c>
      <c r="P25" s="44">
        <v>17</v>
      </c>
      <c r="Q25" s="14"/>
      <c r="R25" s="14"/>
    </row>
    <row r="26" spans="1:18">
      <c r="A26" s="32" t="str">
        <f t="shared" si="2"/>
        <v>신사업팀</v>
      </c>
      <c r="B26" s="19">
        <f>SUMIF(월간투입!$A$8:$A$127,$A26,월간투입!E$8:E$127)</f>
        <v>2.1</v>
      </c>
      <c r="C26" s="19">
        <f>SUMIF(월간투입!$A$8:$A$127,$A26,월간투입!F$8:F$127)</f>
        <v>2.1</v>
      </c>
      <c r="D26" s="19">
        <f>SUMIF(월간투입!$A$8:$A$127,$A26,월간투입!G$8:G$127)</f>
        <v>2.1</v>
      </c>
      <c r="E26" s="19">
        <f>SUMIF(월간투입!$A$8:$A$127,$A26,월간투입!H$8:H$127)</f>
        <v>2.1</v>
      </c>
      <c r="F26" s="19">
        <f>SUMIF(월간투입!$A$8:$A$127,$A26,월간투입!I$8:I$127)</f>
        <v>1.5</v>
      </c>
      <c r="G26" s="19">
        <f>SUMIF(월간투입!$A$8:$A$127,$A26,월간투입!J$8:J$127)</f>
        <v>1.5</v>
      </c>
      <c r="H26" s="19">
        <f>SUMIF(월간투입!$A$8:$A$127,$A26,월간투입!K$8:K$127)</f>
        <v>1.1000000000000001</v>
      </c>
      <c r="I26" s="19">
        <f>SUMIF(월간투입!$A$8:$A$127,$A26,월간투입!L$8:L$127)</f>
        <v>1.1000000000000001</v>
      </c>
      <c r="J26" s="19">
        <f>SUMIF(월간투입!$A$8:$A$127,$A26,월간투입!M$8:M$127)</f>
        <v>1.1000000000000001</v>
      </c>
      <c r="K26" s="19">
        <f>SUMIF(월간투입!$A$8:$A$127,$A26,월간투입!N$8:N$127)</f>
        <v>1.1000000000000001</v>
      </c>
      <c r="L26" s="19">
        <f>SUMIF(월간투입!$A$8:$A$127,$A26,월간투입!O$8:O$127)</f>
        <v>1.1000000000000001</v>
      </c>
      <c r="M26" s="19">
        <f>SUMIF(월간투입!$A$8:$A$127,$A26,월간투입!P$8:P$127)</f>
        <v>1.1000000000000001</v>
      </c>
      <c r="N26" s="37">
        <f t="shared" si="3"/>
        <v>18</v>
      </c>
      <c r="P26" s="44">
        <v>18</v>
      </c>
      <c r="Q26" s="14"/>
      <c r="R26" s="14"/>
    </row>
    <row r="27" spans="1:18">
      <c r="A27" s="32" t="str">
        <f t="shared" si="2"/>
        <v>경영본부 사업기획실</v>
      </c>
      <c r="B27" s="19">
        <f>SUMIF(월간투입!$A$8:$A$127,$A27,월간투입!E$8:E$127)</f>
        <v>2.2000000000000002</v>
      </c>
      <c r="C27" s="19">
        <f>SUMIF(월간투입!$A$8:$A$127,$A27,월간투입!F$8:F$127)</f>
        <v>2.2000000000000002</v>
      </c>
      <c r="D27" s="19">
        <f>SUMIF(월간투입!$A$8:$A$127,$A27,월간투입!G$8:G$127)</f>
        <v>2</v>
      </c>
      <c r="E27" s="19">
        <f>SUMIF(월간투입!$A$8:$A$127,$A27,월간투입!H$8:H$127)</f>
        <v>2</v>
      </c>
      <c r="F27" s="19">
        <f>SUMIF(월간투입!$A$8:$A$127,$A27,월간투입!I$8:I$127)</f>
        <v>2</v>
      </c>
      <c r="G27" s="19">
        <f>SUMIF(월간투입!$A$8:$A$127,$A27,월간투입!J$8:J$127)</f>
        <v>2</v>
      </c>
      <c r="H27" s="19">
        <f>SUMIF(월간투입!$A$8:$A$127,$A27,월간투입!K$8:K$127)</f>
        <v>2.2000000000000002</v>
      </c>
      <c r="I27" s="19">
        <f>SUMIF(월간투입!$A$8:$A$127,$A27,월간투입!L$8:L$127)</f>
        <v>2.2000000000000002</v>
      </c>
      <c r="J27" s="19">
        <f>SUMIF(월간투입!$A$8:$A$127,$A27,월간투입!M$8:M$127)</f>
        <v>2.2000000000000002</v>
      </c>
      <c r="K27" s="19">
        <f>SUMIF(월간투입!$A$8:$A$127,$A27,월간투입!N$8:N$127)</f>
        <v>2.8</v>
      </c>
      <c r="L27" s="19">
        <f>SUMIF(월간투입!$A$8:$A$127,$A27,월간투입!O$8:O$127)</f>
        <v>2.9</v>
      </c>
      <c r="M27" s="19">
        <f>SUMIF(월간투입!$A$8:$A$127,$A27,월간투입!P$8:P$127)</f>
        <v>2.9</v>
      </c>
      <c r="N27" s="37">
        <f t="shared" si="3"/>
        <v>27.599999999999998</v>
      </c>
      <c r="P27" s="44">
        <v>19</v>
      </c>
      <c r="Q27" s="14"/>
      <c r="R27" s="14"/>
    </row>
    <row r="28" spans="1:18">
      <c r="A28" s="32" t="str">
        <f t="shared" si="2"/>
        <v/>
      </c>
      <c r="B28" s="19">
        <f>SUMIF(월간투입!$A$8:$A$127,$A28,월간투입!E$8:E$127)</f>
        <v>0</v>
      </c>
      <c r="C28" s="19">
        <f>SUMIF(월간투입!$A$8:$A$127,$A28,월간투입!F$8:F$127)</f>
        <v>0</v>
      </c>
      <c r="D28" s="19">
        <f>SUMIF(월간투입!$A$8:$A$127,$A28,월간투입!G$8:G$127)</f>
        <v>0</v>
      </c>
      <c r="E28" s="19">
        <f>SUMIF(월간투입!$A$8:$A$127,$A28,월간투입!H$8:H$127)</f>
        <v>0</v>
      </c>
      <c r="F28" s="19">
        <f>SUMIF(월간투입!$A$8:$A$127,$A28,월간투입!I$8:I$127)</f>
        <v>0</v>
      </c>
      <c r="G28" s="19">
        <f>SUMIF(월간투입!$A$8:$A$127,$A28,월간투입!J$8:J$127)</f>
        <v>0</v>
      </c>
      <c r="H28" s="19">
        <f>SUMIF(월간투입!$A$8:$A$127,$A28,월간투입!K$8:K$127)</f>
        <v>0</v>
      </c>
      <c r="I28" s="19">
        <f>SUMIF(월간투입!$A$8:$A$127,$A28,월간투입!L$8:L$127)</f>
        <v>0</v>
      </c>
      <c r="J28" s="19">
        <f>SUMIF(월간투입!$A$8:$A$127,$A28,월간투입!M$8:M$127)</f>
        <v>0</v>
      </c>
      <c r="K28" s="19">
        <f>SUMIF(월간투입!$A$8:$A$127,$A28,월간투입!N$8:N$127)</f>
        <v>0</v>
      </c>
      <c r="L28" s="19">
        <f>SUMIF(월간투입!$A$8:$A$127,$A28,월간투입!O$8:O$127)</f>
        <v>0</v>
      </c>
      <c r="M28" s="19">
        <f>SUMIF(월간투입!$A$8:$A$127,$A28,월간투입!P$8:P$127)</f>
        <v>0</v>
      </c>
      <c r="N28" s="37">
        <f t="shared" si="3"/>
        <v>0</v>
      </c>
      <c r="P28" s="44">
        <v>20</v>
      </c>
      <c r="Q28" s="14"/>
      <c r="R28" s="14"/>
    </row>
    <row r="29" spans="1:18">
      <c r="A29" s="32" t="str">
        <f t="shared" si="2"/>
        <v/>
      </c>
      <c r="B29" s="19">
        <f>SUMIF(월간투입!$A$8:$A$127,$A29,월간투입!E$8:E$127)</f>
        <v>0</v>
      </c>
      <c r="C29" s="19">
        <f>SUMIF(월간투입!$A$8:$A$127,$A29,월간투입!F$8:F$127)</f>
        <v>0</v>
      </c>
      <c r="D29" s="19">
        <f>SUMIF(월간투입!$A$8:$A$127,$A29,월간투입!G$8:G$127)</f>
        <v>0</v>
      </c>
      <c r="E29" s="19">
        <f>SUMIF(월간투입!$A$8:$A$127,$A29,월간투입!H$8:H$127)</f>
        <v>0</v>
      </c>
      <c r="F29" s="19">
        <f>SUMIF(월간투입!$A$8:$A$127,$A29,월간투입!I$8:I$127)</f>
        <v>0</v>
      </c>
      <c r="G29" s="19">
        <f>SUMIF(월간투입!$A$8:$A$127,$A29,월간투입!J$8:J$127)</f>
        <v>0</v>
      </c>
      <c r="H29" s="19">
        <f>SUMIF(월간투입!$A$8:$A$127,$A29,월간투입!K$8:K$127)</f>
        <v>0</v>
      </c>
      <c r="I29" s="19">
        <f>SUMIF(월간투입!$A$8:$A$127,$A29,월간투입!L$8:L$127)</f>
        <v>0</v>
      </c>
      <c r="J29" s="19">
        <f>SUMIF(월간투입!$A$8:$A$127,$A29,월간투입!M$8:M$127)</f>
        <v>0</v>
      </c>
      <c r="K29" s="19">
        <f>SUMIF(월간투입!$A$8:$A$127,$A29,월간투입!N$8:N$127)</f>
        <v>0</v>
      </c>
      <c r="L29" s="19">
        <f>SUMIF(월간투입!$A$8:$A$127,$A29,월간투입!O$8:O$127)</f>
        <v>0</v>
      </c>
      <c r="M29" s="19">
        <f>SUMIF(월간투입!$A$8:$A$127,$A29,월간투입!P$8:P$127)</f>
        <v>0</v>
      </c>
      <c r="N29" s="37">
        <f t="shared" si="3"/>
        <v>0</v>
      </c>
      <c r="P29" s="44">
        <v>21</v>
      </c>
      <c r="Q29" s="14"/>
      <c r="R29" s="14"/>
    </row>
    <row r="30" spans="1:18">
      <c r="A30" s="32" t="str">
        <f t="shared" si="2"/>
        <v/>
      </c>
      <c r="B30" s="19">
        <f>SUMIF(월간투입!$A$8:$A$127,$A30,월간투입!E$8:E$127)</f>
        <v>0</v>
      </c>
      <c r="C30" s="19">
        <f>SUMIF(월간투입!$A$8:$A$127,$A30,월간투입!F$8:F$127)</f>
        <v>0</v>
      </c>
      <c r="D30" s="19">
        <f>SUMIF(월간투입!$A$8:$A$127,$A30,월간투입!G$8:G$127)</f>
        <v>0</v>
      </c>
      <c r="E30" s="19">
        <f>SUMIF(월간투입!$A$8:$A$127,$A30,월간투입!H$8:H$127)</f>
        <v>0</v>
      </c>
      <c r="F30" s="19">
        <f>SUMIF(월간투입!$A$8:$A$127,$A30,월간투입!I$8:I$127)</f>
        <v>0</v>
      </c>
      <c r="G30" s="19">
        <f>SUMIF(월간투입!$A$8:$A$127,$A30,월간투입!J$8:J$127)</f>
        <v>0</v>
      </c>
      <c r="H30" s="19">
        <f>SUMIF(월간투입!$A$8:$A$127,$A30,월간투입!K$8:K$127)</f>
        <v>0</v>
      </c>
      <c r="I30" s="19">
        <f>SUMIF(월간투입!$A$8:$A$127,$A30,월간투입!L$8:L$127)</f>
        <v>0</v>
      </c>
      <c r="J30" s="19">
        <f>SUMIF(월간투입!$A$8:$A$127,$A30,월간투입!M$8:M$127)</f>
        <v>0</v>
      </c>
      <c r="K30" s="19">
        <f>SUMIF(월간투입!$A$8:$A$127,$A30,월간투입!N$8:N$127)</f>
        <v>0</v>
      </c>
      <c r="L30" s="19">
        <f>SUMIF(월간투입!$A$8:$A$127,$A30,월간투입!O$8:O$127)</f>
        <v>0</v>
      </c>
      <c r="M30" s="19">
        <f>SUMIF(월간투입!$A$8:$A$127,$A30,월간투입!P$8:P$127)</f>
        <v>0</v>
      </c>
      <c r="N30" s="37">
        <f t="shared" si="3"/>
        <v>0</v>
      </c>
      <c r="P30" s="44">
        <v>22</v>
      </c>
      <c r="Q30" s="14"/>
      <c r="R30" s="14"/>
    </row>
    <row r="31" spans="1:18">
      <c r="A31" s="32" t="str">
        <f t="shared" si="2"/>
        <v/>
      </c>
      <c r="B31" s="19">
        <f>SUMIF(월간투입!$A$8:$A$127,$A31,월간투입!E$8:E$127)</f>
        <v>0</v>
      </c>
      <c r="C31" s="19">
        <f>SUMIF(월간투입!$A$8:$A$127,$A31,월간투입!F$8:F$127)</f>
        <v>0</v>
      </c>
      <c r="D31" s="19">
        <f>SUMIF(월간투입!$A$8:$A$127,$A31,월간투입!G$8:G$127)</f>
        <v>0</v>
      </c>
      <c r="E31" s="19">
        <f>SUMIF(월간투입!$A$8:$A$127,$A31,월간투입!H$8:H$127)</f>
        <v>0</v>
      </c>
      <c r="F31" s="19">
        <f>SUMIF(월간투입!$A$8:$A$127,$A31,월간투입!I$8:I$127)</f>
        <v>0</v>
      </c>
      <c r="G31" s="19">
        <f>SUMIF(월간투입!$A$8:$A$127,$A31,월간투입!J$8:J$127)</f>
        <v>0</v>
      </c>
      <c r="H31" s="19">
        <f>SUMIF(월간투입!$A$8:$A$127,$A31,월간투입!K$8:K$127)</f>
        <v>0</v>
      </c>
      <c r="I31" s="19">
        <f>SUMIF(월간투입!$A$8:$A$127,$A31,월간투입!L$8:L$127)</f>
        <v>0</v>
      </c>
      <c r="J31" s="19">
        <f>SUMIF(월간투입!$A$8:$A$127,$A31,월간투입!M$8:M$127)</f>
        <v>0</v>
      </c>
      <c r="K31" s="19">
        <f>SUMIF(월간투입!$A$8:$A$127,$A31,월간투입!N$8:N$127)</f>
        <v>0</v>
      </c>
      <c r="L31" s="19">
        <f>SUMIF(월간투입!$A$8:$A$127,$A31,월간투입!O$8:O$127)</f>
        <v>0</v>
      </c>
      <c r="M31" s="19">
        <f>SUMIF(월간투입!$A$8:$A$127,$A31,월간투입!P$8:P$127)</f>
        <v>0</v>
      </c>
      <c r="N31" s="37">
        <f t="shared" si="3"/>
        <v>0</v>
      </c>
      <c r="P31" s="44">
        <v>23</v>
      </c>
      <c r="Q31" s="14"/>
      <c r="R31" s="14"/>
    </row>
    <row r="32" spans="1:18">
      <c r="P32" s="44">
        <v>24</v>
      </c>
      <c r="Q32" s="14"/>
      <c r="R32" s="14"/>
    </row>
    <row r="33" spans="1:18">
      <c r="P33" s="44">
        <v>25</v>
      </c>
      <c r="Q33" s="14"/>
      <c r="R33" s="14"/>
    </row>
    <row r="34" spans="1:18">
      <c r="A34" s="2" t="s">
        <v>113</v>
      </c>
      <c r="P34" s="44">
        <v>26</v>
      </c>
      <c r="Q34" s="14"/>
      <c r="R34" s="14"/>
    </row>
    <row r="35" spans="1:18">
      <c r="A35" s="1" t="s">
        <v>114</v>
      </c>
      <c r="P35" s="44">
        <v>27</v>
      </c>
      <c r="Q35" s="14"/>
      <c r="R35" s="14"/>
    </row>
    <row r="36" spans="1:18" ht="30" customHeight="1">
      <c r="A36" s="5" t="s">
        <v>61</v>
      </c>
      <c r="B36" s="29">
        <f>월간투입!E$7</f>
        <v>46023</v>
      </c>
      <c r="C36" s="29">
        <f>월간투입!F$7</f>
        <v>46054</v>
      </c>
      <c r="D36" s="29">
        <f>월간투입!G$7</f>
        <v>46082</v>
      </c>
      <c r="E36" s="29">
        <f>월간투입!H$7</f>
        <v>46113</v>
      </c>
      <c r="F36" s="29">
        <f>월간투입!I$7</f>
        <v>46143</v>
      </c>
      <c r="G36" s="29">
        <f>월간투입!J$7</f>
        <v>46174</v>
      </c>
      <c r="H36" s="29">
        <f>월간투입!K$7</f>
        <v>46204</v>
      </c>
      <c r="I36" s="29">
        <f>월간투입!L$7</f>
        <v>46235</v>
      </c>
      <c r="J36" s="29">
        <f>월간투입!M$7</f>
        <v>46266</v>
      </c>
      <c r="K36" s="29">
        <f>월간투입!N$7</f>
        <v>46296</v>
      </c>
      <c r="L36" s="29">
        <f>월간투입!O$7</f>
        <v>46327</v>
      </c>
      <c r="M36" s="29">
        <f>월간투입!P$7</f>
        <v>46357</v>
      </c>
      <c r="N36" s="5" t="s">
        <v>115</v>
      </c>
      <c r="P36" s="44">
        <v>28</v>
      </c>
      <c r="Q36" s="14"/>
      <c r="R36" s="14"/>
    </row>
    <row r="37" spans="1:18">
      <c r="A37" s="32" t="str">
        <f t="shared" ref="A37:A44" si="4">IF($A10="","",$A10)</f>
        <v>사업운영팀 기획1파트</v>
      </c>
      <c r="B37" s="36">
        <f t="shared" ref="B37:M37" si="5">IF($C$10=0,"",B24/$C$10)</f>
        <v>1.1764705882352942</v>
      </c>
      <c r="C37" s="36">
        <f t="shared" si="5"/>
        <v>1.2235294117647058</v>
      </c>
      <c r="D37" s="36">
        <f t="shared" si="5"/>
        <v>1.2705882352941174</v>
      </c>
      <c r="E37" s="36">
        <f t="shared" si="5"/>
        <v>1.2470588235294116</v>
      </c>
      <c r="F37" s="36">
        <f t="shared" si="5"/>
        <v>1.2</v>
      </c>
      <c r="G37" s="36">
        <f t="shared" si="5"/>
        <v>0.87058823529411755</v>
      </c>
      <c r="H37" s="36">
        <f t="shared" si="5"/>
        <v>0.87058823529411755</v>
      </c>
      <c r="I37" s="36">
        <f t="shared" si="5"/>
        <v>0.91764705882352926</v>
      </c>
      <c r="J37" s="36">
        <f t="shared" si="5"/>
        <v>0.91764705882352926</v>
      </c>
      <c r="K37" s="36">
        <f t="shared" si="5"/>
        <v>0.91764705882352926</v>
      </c>
      <c r="L37" s="36">
        <f t="shared" si="5"/>
        <v>0.91764705882352926</v>
      </c>
      <c r="M37" s="36">
        <f t="shared" si="5"/>
        <v>0.91764705882352926</v>
      </c>
      <c r="N37" s="24">
        <f>IF($D$10=0,"",N24/$D$10)</f>
        <v>1.0372549019607842</v>
      </c>
      <c r="P37" s="44">
        <v>29</v>
      </c>
      <c r="Q37" s="14"/>
      <c r="R37" s="14"/>
    </row>
    <row r="38" spans="1:18">
      <c r="A38" s="32" t="str">
        <f t="shared" si="4"/>
        <v>사업운영팀 기획2파트</v>
      </c>
      <c r="B38" s="36">
        <f t="shared" ref="B38:M38" si="6">IF($C$11=0,"",B25/$C$11)</f>
        <v>0.67647058823529405</v>
      </c>
      <c r="C38" s="36">
        <f t="shared" si="6"/>
        <v>0.67647058823529405</v>
      </c>
      <c r="D38" s="36">
        <f t="shared" si="6"/>
        <v>1.1470588235294117</v>
      </c>
      <c r="E38" s="36">
        <f t="shared" si="6"/>
        <v>1.1470588235294117</v>
      </c>
      <c r="F38" s="36">
        <f t="shared" si="6"/>
        <v>1.1470588235294117</v>
      </c>
      <c r="G38" s="36">
        <f t="shared" si="6"/>
        <v>1.1470588235294117</v>
      </c>
      <c r="H38" s="36">
        <f t="shared" si="6"/>
        <v>0.67647058823529405</v>
      </c>
      <c r="I38" s="36">
        <f t="shared" si="6"/>
        <v>0.23529411764705885</v>
      </c>
      <c r="J38" s="36">
        <f t="shared" si="6"/>
        <v>0.23529411764705885</v>
      </c>
      <c r="K38" s="36">
        <f t="shared" si="6"/>
        <v>0.23529411764705885</v>
      </c>
      <c r="L38" s="36">
        <f t="shared" si="6"/>
        <v>0.23529411764705885</v>
      </c>
      <c r="M38" s="36">
        <f t="shared" si="6"/>
        <v>0.23529411764705885</v>
      </c>
      <c r="N38" s="24">
        <f>IF($D$11=0,"",N25/$D$11)</f>
        <v>0.64950980392156865</v>
      </c>
      <c r="P38" s="44">
        <v>30</v>
      </c>
      <c r="Q38" s="14"/>
      <c r="R38" s="14"/>
    </row>
    <row r="39" spans="1:18">
      <c r="A39" s="32" t="str">
        <f t="shared" si="4"/>
        <v>신사업팀</v>
      </c>
      <c r="B39" s="36">
        <f t="shared" ref="B39:M39" si="7">IF($C$12=0,"",B26/$C$12)</f>
        <v>0.82352941176470595</v>
      </c>
      <c r="C39" s="36">
        <f t="shared" si="7"/>
        <v>0.82352941176470595</v>
      </c>
      <c r="D39" s="36">
        <f t="shared" si="7"/>
        <v>0.82352941176470595</v>
      </c>
      <c r="E39" s="36">
        <f t="shared" si="7"/>
        <v>0.82352941176470595</v>
      </c>
      <c r="F39" s="36">
        <f t="shared" si="7"/>
        <v>0.58823529411764708</v>
      </c>
      <c r="G39" s="36">
        <f t="shared" si="7"/>
        <v>0.58823529411764708</v>
      </c>
      <c r="H39" s="36">
        <f t="shared" si="7"/>
        <v>0.43137254901960792</v>
      </c>
      <c r="I39" s="36">
        <f t="shared" si="7"/>
        <v>0.43137254901960792</v>
      </c>
      <c r="J39" s="36">
        <f t="shared" si="7"/>
        <v>0.43137254901960792</v>
      </c>
      <c r="K39" s="36">
        <f t="shared" si="7"/>
        <v>0.43137254901960792</v>
      </c>
      <c r="L39" s="36">
        <f t="shared" si="7"/>
        <v>0.43137254901960792</v>
      </c>
      <c r="M39" s="36">
        <f t="shared" si="7"/>
        <v>0.43137254901960792</v>
      </c>
      <c r="N39" s="24">
        <f>IF($D$12=0,"",N26/$D$12)</f>
        <v>0.58823529411764708</v>
      </c>
      <c r="P39" s="44">
        <v>31</v>
      </c>
      <c r="Q39" s="14"/>
      <c r="R39" s="14"/>
    </row>
    <row r="40" spans="1:18">
      <c r="A40" s="32" t="str">
        <f t="shared" si="4"/>
        <v>경영본부 사업기획실</v>
      </c>
      <c r="B40" s="36">
        <f t="shared" ref="B40:M40" si="8">IF($C$13=0,"",B27/$C$13)</f>
        <v>0.86274509803921584</v>
      </c>
      <c r="C40" s="36">
        <f t="shared" si="8"/>
        <v>0.86274509803921584</v>
      </c>
      <c r="D40" s="36">
        <f t="shared" si="8"/>
        <v>0.78431372549019618</v>
      </c>
      <c r="E40" s="36">
        <f t="shared" si="8"/>
        <v>0.78431372549019618</v>
      </c>
      <c r="F40" s="36">
        <f t="shared" si="8"/>
        <v>0.78431372549019618</v>
      </c>
      <c r="G40" s="36">
        <f t="shared" si="8"/>
        <v>0.78431372549019618</v>
      </c>
      <c r="H40" s="36">
        <f t="shared" si="8"/>
        <v>0.86274509803921584</v>
      </c>
      <c r="I40" s="36">
        <f t="shared" si="8"/>
        <v>0.86274509803921584</v>
      </c>
      <c r="J40" s="36">
        <f t="shared" si="8"/>
        <v>0.86274509803921584</v>
      </c>
      <c r="K40" s="36">
        <f t="shared" si="8"/>
        <v>1.0980392156862746</v>
      </c>
      <c r="L40" s="36">
        <f t="shared" si="8"/>
        <v>1.1372549019607843</v>
      </c>
      <c r="M40" s="36">
        <f t="shared" si="8"/>
        <v>1.1372549019607843</v>
      </c>
      <c r="N40" s="24">
        <f>IF($D$13=0,"",N27/$D$13)</f>
        <v>0.90196078431372551</v>
      </c>
      <c r="P40" s="44">
        <v>32</v>
      </c>
      <c r="Q40" s="14"/>
      <c r="R40" s="14"/>
    </row>
    <row r="41" spans="1:18">
      <c r="A41" s="32" t="str">
        <f t="shared" si="4"/>
        <v/>
      </c>
      <c r="B41" s="36" t="str">
        <f t="shared" ref="B41:M41" si="9">IF($C$14=0,"",B28/$C$14)</f>
        <v/>
      </c>
      <c r="C41" s="36" t="str">
        <f t="shared" si="9"/>
        <v/>
      </c>
      <c r="D41" s="36" t="str">
        <f t="shared" si="9"/>
        <v/>
      </c>
      <c r="E41" s="36" t="str">
        <f t="shared" si="9"/>
        <v/>
      </c>
      <c r="F41" s="36" t="str">
        <f t="shared" si="9"/>
        <v/>
      </c>
      <c r="G41" s="36" t="str">
        <f t="shared" si="9"/>
        <v/>
      </c>
      <c r="H41" s="36" t="str">
        <f t="shared" si="9"/>
        <v/>
      </c>
      <c r="I41" s="36" t="str">
        <f t="shared" si="9"/>
        <v/>
      </c>
      <c r="J41" s="36" t="str">
        <f t="shared" si="9"/>
        <v/>
      </c>
      <c r="K41" s="36" t="str">
        <f t="shared" si="9"/>
        <v/>
      </c>
      <c r="L41" s="36" t="str">
        <f t="shared" si="9"/>
        <v/>
      </c>
      <c r="M41" s="36" t="str">
        <f t="shared" si="9"/>
        <v/>
      </c>
      <c r="N41" s="24" t="str">
        <f>IF($D$14=0,"",N28/$D$14)</f>
        <v/>
      </c>
      <c r="P41" s="44">
        <v>33</v>
      </c>
      <c r="Q41" s="14"/>
      <c r="R41" s="14"/>
    </row>
    <row r="42" spans="1:18">
      <c r="A42" s="32" t="str">
        <f t="shared" si="4"/>
        <v/>
      </c>
      <c r="B42" s="36" t="str">
        <f t="shared" ref="B42:M42" si="10">IF($C$15=0,"",B29/$C$15)</f>
        <v/>
      </c>
      <c r="C42" s="36" t="str">
        <f t="shared" si="10"/>
        <v/>
      </c>
      <c r="D42" s="36" t="str">
        <f t="shared" si="10"/>
        <v/>
      </c>
      <c r="E42" s="36" t="str">
        <f t="shared" si="10"/>
        <v/>
      </c>
      <c r="F42" s="36" t="str">
        <f t="shared" si="10"/>
        <v/>
      </c>
      <c r="G42" s="36" t="str">
        <f t="shared" si="10"/>
        <v/>
      </c>
      <c r="H42" s="36" t="str">
        <f t="shared" si="10"/>
        <v/>
      </c>
      <c r="I42" s="36" t="str">
        <f t="shared" si="10"/>
        <v/>
      </c>
      <c r="J42" s="36" t="str">
        <f t="shared" si="10"/>
        <v/>
      </c>
      <c r="K42" s="36" t="str">
        <f t="shared" si="10"/>
        <v/>
      </c>
      <c r="L42" s="36" t="str">
        <f t="shared" si="10"/>
        <v/>
      </c>
      <c r="M42" s="36" t="str">
        <f t="shared" si="10"/>
        <v/>
      </c>
      <c r="N42" s="24" t="str">
        <f>IF($D$15=0,"",N29/$D$15)</f>
        <v/>
      </c>
      <c r="P42" s="44">
        <v>34</v>
      </c>
      <c r="Q42" s="14"/>
      <c r="R42" s="14"/>
    </row>
    <row r="43" spans="1:18">
      <c r="A43" s="32" t="str">
        <f t="shared" si="4"/>
        <v/>
      </c>
      <c r="B43" s="36" t="str">
        <f t="shared" ref="B43:M43" si="11">IF($C$16=0,"",B30/$C$16)</f>
        <v/>
      </c>
      <c r="C43" s="36" t="str">
        <f t="shared" si="11"/>
        <v/>
      </c>
      <c r="D43" s="36" t="str">
        <f t="shared" si="11"/>
        <v/>
      </c>
      <c r="E43" s="36" t="str">
        <f t="shared" si="11"/>
        <v/>
      </c>
      <c r="F43" s="36" t="str">
        <f t="shared" si="11"/>
        <v/>
      </c>
      <c r="G43" s="36" t="str">
        <f t="shared" si="11"/>
        <v/>
      </c>
      <c r="H43" s="36" t="str">
        <f t="shared" si="11"/>
        <v/>
      </c>
      <c r="I43" s="36" t="str">
        <f t="shared" si="11"/>
        <v/>
      </c>
      <c r="J43" s="36" t="str">
        <f t="shared" si="11"/>
        <v/>
      </c>
      <c r="K43" s="36" t="str">
        <f t="shared" si="11"/>
        <v/>
      </c>
      <c r="L43" s="36" t="str">
        <f t="shared" si="11"/>
        <v/>
      </c>
      <c r="M43" s="36" t="str">
        <f t="shared" si="11"/>
        <v/>
      </c>
      <c r="N43" s="24" t="str">
        <f>IF($D$16=0,"",N30/$D$16)</f>
        <v/>
      </c>
      <c r="P43" s="44">
        <v>35</v>
      </c>
      <c r="Q43" s="14"/>
      <c r="R43" s="14"/>
    </row>
    <row r="44" spans="1:18">
      <c r="A44" s="32" t="str">
        <f t="shared" si="4"/>
        <v/>
      </c>
      <c r="B44" s="36" t="str">
        <f t="shared" ref="B44:M44" si="12">IF($C$17=0,"",B31/$C$17)</f>
        <v/>
      </c>
      <c r="C44" s="36" t="str">
        <f t="shared" si="12"/>
        <v/>
      </c>
      <c r="D44" s="36" t="str">
        <f t="shared" si="12"/>
        <v/>
      </c>
      <c r="E44" s="36" t="str">
        <f t="shared" si="12"/>
        <v/>
      </c>
      <c r="F44" s="36" t="str">
        <f t="shared" si="12"/>
        <v/>
      </c>
      <c r="G44" s="36" t="str">
        <f t="shared" si="12"/>
        <v/>
      </c>
      <c r="H44" s="36" t="str">
        <f t="shared" si="12"/>
        <v/>
      </c>
      <c r="I44" s="36" t="str">
        <f t="shared" si="12"/>
        <v/>
      </c>
      <c r="J44" s="36" t="str">
        <f t="shared" si="12"/>
        <v/>
      </c>
      <c r="K44" s="36" t="str">
        <f t="shared" si="12"/>
        <v/>
      </c>
      <c r="L44" s="36" t="str">
        <f t="shared" si="12"/>
        <v/>
      </c>
      <c r="M44" s="36" t="str">
        <f t="shared" si="12"/>
        <v/>
      </c>
      <c r="N44" s="24" t="str">
        <f>IF($D$17=0,"",N31/$D$17)</f>
        <v/>
      </c>
      <c r="P44" s="44">
        <v>36</v>
      </c>
      <c r="Q44" s="14"/>
      <c r="R44" s="14"/>
    </row>
    <row r="45" spans="1:18">
      <c r="P45" s="44">
        <v>37</v>
      </c>
      <c r="Q45" s="14"/>
      <c r="R45" s="14"/>
    </row>
    <row r="46" spans="1:18">
      <c r="P46" s="44">
        <v>38</v>
      </c>
      <c r="Q46" s="14"/>
      <c r="R46" s="14"/>
    </row>
    <row r="47" spans="1:18">
      <c r="A47" s="2" t="s">
        <v>116</v>
      </c>
      <c r="P47" s="44">
        <v>39</v>
      </c>
      <c r="Q47" s="14"/>
      <c r="R47" s="14"/>
    </row>
    <row r="48" spans="1:18" ht="30" customHeight="1">
      <c r="A48" s="5" t="s">
        <v>61</v>
      </c>
      <c r="B48" s="29">
        <f>월간투입!E$7</f>
        <v>46023</v>
      </c>
      <c r="C48" s="29">
        <f>월간투입!F$7</f>
        <v>46054</v>
      </c>
      <c r="D48" s="29">
        <f>월간투입!G$7</f>
        <v>46082</v>
      </c>
      <c r="E48" s="29">
        <f>월간투입!H$7</f>
        <v>46113</v>
      </c>
      <c r="F48" s="29">
        <f>월간투입!I$7</f>
        <v>46143</v>
      </c>
      <c r="G48" s="29">
        <f>월간투입!J$7</f>
        <v>46174</v>
      </c>
      <c r="H48" s="29">
        <f>월간투입!K$7</f>
        <v>46204</v>
      </c>
      <c r="I48" s="29">
        <f>월간투입!L$7</f>
        <v>46235</v>
      </c>
      <c r="J48" s="29">
        <f>월간투입!M$7</f>
        <v>46266</v>
      </c>
      <c r="K48" s="29">
        <f>월간투입!N$7</f>
        <v>46296</v>
      </c>
      <c r="L48" s="29">
        <f>월간투입!O$7</f>
        <v>46327</v>
      </c>
      <c r="M48" s="29">
        <f>월간투입!P$7</f>
        <v>46357</v>
      </c>
      <c r="N48" s="5" t="s">
        <v>112</v>
      </c>
      <c r="P48" s="44">
        <v>40</v>
      </c>
      <c r="Q48" s="14"/>
      <c r="R48" s="14"/>
    </row>
    <row r="49" spans="1:16">
      <c r="A49" s="32" t="str">
        <f t="shared" ref="A49:A56" si="13">IF($A10="","",$A10)</f>
        <v>사업운영팀 기획1파트</v>
      </c>
      <c r="B49" s="45">
        <f t="shared" ref="B49:M49" si="14">$C$10-B24</f>
        <v>-0.75</v>
      </c>
      <c r="C49" s="45">
        <f t="shared" si="14"/>
        <v>-0.94999999999999929</v>
      </c>
      <c r="D49" s="45">
        <f t="shared" si="14"/>
        <v>-1.1499999999999986</v>
      </c>
      <c r="E49" s="45">
        <f t="shared" si="14"/>
        <v>-1.0499999999999989</v>
      </c>
      <c r="F49" s="45">
        <f t="shared" si="14"/>
        <v>-0.84999999999999964</v>
      </c>
      <c r="G49" s="45">
        <f t="shared" si="14"/>
        <v>0.55000000000000027</v>
      </c>
      <c r="H49" s="45">
        <f t="shared" si="14"/>
        <v>0.55000000000000027</v>
      </c>
      <c r="I49" s="45">
        <f t="shared" si="14"/>
        <v>0.35000000000000053</v>
      </c>
      <c r="J49" s="45">
        <f t="shared" si="14"/>
        <v>0.35000000000000053</v>
      </c>
      <c r="K49" s="45">
        <f t="shared" si="14"/>
        <v>0.35000000000000053</v>
      </c>
      <c r="L49" s="45">
        <f t="shared" si="14"/>
        <v>0.35000000000000053</v>
      </c>
      <c r="M49" s="45">
        <f t="shared" si="14"/>
        <v>0.35000000000000053</v>
      </c>
      <c r="N49" s="25">
        <f t="shared" ref="N49:N56" si="15">SUM(B49:M49)</f>
        <v>-1.8999999999999928</v>
      </c>
    </row>
    <row r="50" spans="1:16">
      <c r="A50" s="32" t="str">
        <f t="shared" si="13"/>
        <v>사업운영팀 기획2파트</v>
      </c>
      <c r="B50" s="45">
        <f t="shared" ref="B50:M50" si="16">$C$11-B25</f>
        <v>1.1000000000000001</v>
      </c>
      <c r="C50" s="45">
        <f t="shared" si="16"/>
        <v>1.1000000000000001</v>
      </c>
      <c r="D50" s="45">
        <f t="shared" si="16"/>
        <v>-0.49999999999999956</v>
      </c>
      <c r="E50" s="45">
        <f t="shared" si="16"/>
        <v>-0.49999999999999956</v>
      </c>
      <c r="F50" s="45">
        <f t="shared" si="16"/>
        <v>-0.49999999999999956</v>
      </c>
      <c r="G50" s="45">
        <f t="shared" si="16"/>
        <v>-0.49999999999999956</v>
      </c>
      <c r="H50" s="45">
        <f t="shared" si="16"/>
        <v>1.1000000000000001</v>
      </c>
      <c r="I50" s="45">
        <f t="shared" si="16"/>
        <v>2.5999999999999996</v>
      </c>
      <c r="J50" s="45">
        <f t="shared" si="16"/>
        <v>2.5999999999999996</v>
      </c>
      <c r="K50" s="45">
        <f t="shared" si="16"/>
        <v>2.5999999999999996</v>
      </c>
      <c r="L50" s="45">
        <f t="shared" si="16"/>
        <v>2.5999999999999996</v>
      </c>
      <c r="M50" s="45">
        <f t="shared" si="16"/>
        <v>2.5999999999999996</v>
      </c>
      <c r="N50" s="25">
        <f t="shared" si="15"/>
        <v>14.3</v>
      </c>
      <c r="P50" s="1" t="s">
        <v>117</v>
      </c>
    </row>
    <row r="51" spans="1:16">
      <c r="A51" s="32" t="str">
        <f t="shared" si="13"/>
        <v>신사업팀</v>
      </c>
      <c r="B51" s="45">
        <f t="shared" ref="B51:M51" si="17">$C$12-B26</f>
        <v>0.44999999999999973</v>
      </c>
      <c r="C51" s="45">
        <f t="shared" si="17"/>
        <v>0.44999999999999973</v>
      </c>
      <c r="D51" s="45">
        <f t="shared" si="17"/>
        <v>0.44999999999999973</v>
      </c>
      <c r="E51" s="45">
        <f t="shared" si="17"/>
        <v>0.44999999999999973</v>
      </c>
      <c r="F51" s="45">
        <f t="shared" si="17"/>
        <v>1.0499999999999998</v>
      </c>
      <c r="G51" s="45">
        <f t="shared" si="17"/>
        <v>1.0499999999999998</v>
      </c>
      <c r="H51" s="45">
        <f t="shared" si="17"/>
        <v>1.4499999999999997</v>
      </c>
      <c r="I51" s="45">
        <f t="shared" si="17"/>
        <v>1.4499999999999997</v>
      </c>
      <c r="J51" s="45">
        <f t="shared" si="17"/>
        <v>1.4499999999999997</v>
      </c>
      <c r="K51" s="45">
        <f t="shared" si="17"/>
        <v>1.4499999999999997</v>
      </c>
      <c r="L51" s="45">
        <f t="shared" si="17"/>
        <v>1.4499999999999997</v>
      </c>
      <c r="M51" s="45">
        <f t="shared" si="17"/>
        <v>1.4499999999999997</v>
      </c>
      <c r="N51" s="25">
        <f t="shared" si="15"/>
        <v>12.599999999999994</v>
      </c>
      <c r="P51" s="1" t="s">
        <v>118</v>
      </c>
    </row>
    <row r="52" spans="1:16">
      <c r="A52" s="32" t="str">
        <f t="shared" si="13"/>
        <v>경영본부 사업기획실</v>
      </c>
      <c r="B52" s="45">
        <f t="shared" ref="B52:M52" si="18">$C$13-B27</f>
        <v>0.34999999999999964</v>
      </c>
      <c r="C52" s="45">
        <f t="shared" si="18"/>
        <v>0.34999999999999964</v>
      </c>
      <c r="D52" s="45">
        <f t="shared" si="18"/>
        <v>0.54999999999999982</v>
      </c>
      <c r="E52" s="45">
        <f t="shared" si="18"/>
        <v>0.54999999999999982</v>
      </c>
      <c r="F52" s="45">
        <f t="shared" si="18"/>
        <v>0.54999999999999982</v>
      </c>
      <c r="G52" s="45">
        <f t="shared" si="18"/>
        <v>0.54999999999999982</v>
      </c>
      <c r="H52" s="45">
        <f t="shared" si="18"/>
        <v>0.34999999999999964</v>
      </c>
      <c r="I52" s="45">
        <f t="shared" si="18"/>
        <v>0.34999999999999964</v>
      </c>
      <c r="J52" s="45">
        <f t="shared" si="18"/>
        <v>0.34999999999999964</v>
      </c>
      <c r="K52" s="45">
        <f t="shared" si="18"/>
        <v>-0.25</v>
      </c>
      <c r="L52" s="45">
        <f t="shared" si="18"/>
        <v>-0.35000000000000009</v>
      </c>
      <c r="M52" s="45">
        <f t="shared" si="18"/>
        <v>-0.35000000000000009</v>
      </c>
      <c r="N52" s="25">
        <f t="shared" si="15"/>
        <v>2.9999999999999973</v>
      </c>
      <c r="P52" s="1" t="s">
        <v>119</v>
      </c>
    </row>
    <row r="53" spans="1:16">
      <c r="A53" s="32" t="str">
        <f t="shared" si="13"/>
        <v/>
      </c>
      <c r="B53" s="45">
        <f t="shared" ref="B53:M53" si="19">$C$14-B28</f>
        <v>0</v>
      </c>
      <c r="C53" s="45">
        <f t="shared" si="19"/>
        <v>0</v>
      </c>
      <c r="D53" s="45">
        <f t="shared" si="19"/>
        <v>0</v>
      </c>
      <c r="E53" s="45">
        <f t="shared" si="19"/>
        <v>0</v>
      </c>
      <c r="F53" s="45">
        <f t="shared" si="19"/>
        <v>0</v>
      </c>
      <c r="G53" s="45">
        <f t="shared" si="19"/>
        <v>0</v>
      </c>
      <c r="H53" s="45">
        <f t="shared" si="19"/>
        <v>0</v>
      </c>
      <c r="I53" s="45">
        <f t="shared" si="19"/>
        <v>0</v>
      </c>
      <c r="J53" s="45">
        <f t="shared" si="19"/>
        <v>0</v>
      </c>
      <c r="K53" s="45">
        <f t="shared" si="19"/>
        <v>0</v>
      </c>
      <c r="L53" s="45">
        <f t="shared" si="19"/>
        <v>0</v>
      </c>
      <c r="M53" s="45">
        <f t="shared" si="19"/>
        <v>0</v>
      </c>
      <c r="N53" s="25">
        <f t="shared" si="15"/>
        <v>0</v>
      </c>
    </row>
    <row r="54" spans="1:16">
      <c r="A54" s="32" t="str">
        <f t="shared" si="13"/>
        <v/>
      </c>
      <c r="B54" s="45">
        <f t="shared" ref="B54:M54" si="20">$C$15-B29</f>
        <v>0</v>
      </c>
      <c r="C54" s="45">
        <f t="shared" si="20"/>
        <v>0</v>
      </c>
      <c r="D54" s="45">
        <f t="shared" si="20"/>
        <v>0</v>
      </c>
      <c r="E54" s="45">
        <f t="shared" si="20"/>
        <v>0</v>
      </c>
      <c r="F54" s="45">
        <f t="shared" si="20"/>
        <v>0</v>
      </c>
      <c r="G54" s="45">
        <f t="shared" si="20"/>
        <v>0</v>
      </c>
      <c r="H54" s="45">
        <f t="shared" si="20"/>
        <v>0</v>
      </c>
      <c r="I54" s="45">
        <f t="shared" si="20"/>
        <v>0</v>
      </c>
      <c r="J54" s="45">
        <f t="shared" si="20"/>
        <v>0</v>
      </c>
      <c r="K54" s="45">
        <f t="shared" si="20"/>
        <v>0</v>
      </c>
      <c r="L54" s="45">
        <f t="shared" si="20"/>
        <v>0</v>
      </c>
      <c r="M54" s="45">
        <f t="shared" si="20"/>
        <v>0</v>
      </c>
      <c r="N54" s="25">
        <f t="shared" si="15"/>
        <v>0</v>
      </c>
    </row>
    <row r="55" spans="1:16">
      <c r="A55" s="32" t="str">
        <f t="shared" si="13"/>
        <v/>
      </c>
      <c r="B55" s="45">
        <f t="shared" ref="B55:M55" si="21">$C$16-B30</f>
        <v>0</v>
      </c>
      <c r="C55" s="45">
        <f t="shared" si="21"/>
        <v>0</v>
      </c>
      <c r="D55" s="45">
        <f t="shared" si="21"/>
        <v>0</v>
      </c>
      <c r="E55" s="45">
        <f t="shared" si="21"/>
        <v>0</v>
      </c>
      <c r="F55" s="45">
        <f t="shared" si="21"/>
        <v>0</v>
      </c>
      <c r="G55" s="45">
        <f t="shared" si="21"/>
        <v>0</v>
      </c>
      <c r="H55" s="45">
        <f t="shared" si="21"/>
        <v>0</v>
      </c>
      <c r="I55" s="45">
        <f t="shared" si="21"/>
        <v>0</v>
      </c>
      <c r="J55" s="45">
        <f t="shared" si="21"/>
        <v>0</v>
      </c>
      <c r="K55" s="45">
        <f t="shared" si="21"/>
        <v>0</v>
      </c>
      <c r="L55" s="45">
        <f t="shared" si="21"/>
        <v>0</v>
      </c>
      <c r="M55" s="45">
        <f t="shared" si="21"/>
        <v>0</v>
      </c>
      <c r="N55" s="25">
        <f t="shared" si="15"/>
        <v>0</v>
      </c>
    </row>
    <row r="56" spans="1:16">
      <c r="A56" s="32" t="str">
        <f t="shared" si="13"/>
        <v/>
      </c>
      <c r="B56" s="45">
        <f t="shared" ref="B56:M56" si="22">$C$17-B31</f>
        <v>0</v>
      </c>
      <c r="C56" s="45">
        <f t="shared" si="22"/>
        <v>0</v>
      </c>
      <c r="D56" s="45">
        <f t="shared" si="22"/>
        <v>0</v>
      </c>
      <c r="E56" s="45">
        <f t="shared" si="22"/>
        <v>0</v>
      </c>
      <c r="F56" s="45">
        <f t="shared" si="22"/>
        <v>0</v>
      </c>
      <c r="G56" s="45">
        <f t="shared" si="22"/>
        <v>0</v>
      </c>
      <c r="H56" s="45">
        <f t="shared" si="22"/>
        <v>0</v>
      </c>
      <c r="I56" s="45">
        <f t="shared" si="22"/>
        <v>0</v>
      </c>
      <c r="J56" s="45">
        <f t="shared" si="22"/>
        <v>0</v>
      </c>
      <c r="K56" s="45">
        <f t="shared" si="22"/>
        <v>0</v>
      </c>
      <c r="L56" s="45">
        <f t="shared" si="22"/>
        <v>0</v>
      </c>
      <c r="M56" s="45">
        <f t="shared" si="22"/>
        <v>0</v>
      </c>
      <c r="N56" s="25">
        <f t="shared" si="15"/>
        <v>0</v>
      </c>
    </row>
    <row r="59" spans="1:16">
      <c r="A59" s="2" t="s">
        <v>120</v>
      </c>
    </row>
    <row r="60" spans="1:15" ht="36" customHeight="1">
      <c r="A60" s="5" t="s">
        <v>61</v>
      </c>
      <c r="B60" s="5" t="s">
        <v>27</v>
      </c>
      <c r="C60" s="5" t="s">
        <v>121</v>
      </c>
      <c r="D60" s="5" t="s">
        <v>122</v>
      </c>
      <c r="E60" s="5" t="s">
        <v>65</v>
      </c>
      <c r="F60" s="5" t="s">
        <v>26</v>
      </c>
      <c r="G60" s="6" t="s">
        <v>28</v>
      </c>
      <c r="H60" s="6" t="s">
        <v>29</v>
      </c>
      <c r="I60" s="5" t="s">
        <v>123</v>
      </c>
      <c r="J60" s="5" t="s">
        <v>6</v>
      </c>
      <c r="K60" s="5" t="s">
        <v>7</v>
      </c>
      <c r="L60" s="5" t="s">
        <v>11</v>
      </c>
      <c r="M60" s="5" t="s">
        <v>124</v>
      </c>
      <c r="N60" s="5" t="s">
        <v>153</v>
      </c>
      <c r="O60" s="5" t="s">
        <v>154</v>
      </c>
    </row>
    <row r="61" spans="1:15">
      <c r="A61" s="32" t="str">
        <f t="shared" ref="A61:A68" si="23">IF($A10="","",$A10)</f>
        <v>사업운영팀 기획1파트</v>
      </c>
      <c r="B61" s="19">
        <f t="shared" ref="B61:B68" si="24">IF($A61="",0,N24)</f>
        <v>52.899999999999991</v>
      </c>
      <c r="C61" s="45">
        <f>SUMIFS(월간투입!$Q$8:$Q$127,월간투입!$A$8:$A$127,$A61,월간투입!$D$8:$D$127,"사업")</f>
        <v>28.3</v>
      </c>
      <c r="D61" s="46">
        <f>SUMIF(월간투입!$A$8:$A$127,$A61,월간투입!$R$8:$R$127)</f>
        <v>990000000</v>
      </c>
      <c r="E61" s="46">
        <f>SUMIF(월간투입!$A$8:$A$127,$A61,월간투입!$S$8:$S$127)</f>
        <v>292000000</v>
      </c>
      <c r="F61" s="47">
        <f t="shared" ref="F61:F69" si="25">IF(D61=0,"",E61/D61)</f>
        <v>0.29494949494949496</v>
      </c>
      <c r="G61" s="46">
        <f t="shared" ref="G61:G69" si="26">IF(C61=0,"",D61/C61)</f>
        <v>34982332.155477032</v>
      </c>
      <c r="H61" s="46">
        <f t="shared" ref="H61:H69" si="27">IF(C61=0,"",E61/C61)</f>
        <v>10318021.201413427</v>
      </c>
      <c r="I61" s="48">
        <f>$E$10</f>
        <v>1000000000</v>
      </c>
      <c r="J61" s="24">
        <f t="shared" ref="J61:J69" si="28">IF(I61=0,"",D61/I61)</f>
        <v>0.99</v>
      </c>
      <c r="K61" s="18">
        <f t="shared" ref="K61:K68" ca="1" si="29">IF(I61=0,"",$B$6)</f>
        <v>0.66666666666666663</v>
      </c>
      <c r="L61" s="24">
        <f t="shared" ref="L61:L69" ca="1" si="30">IF(I61=0,"",J61-K61)</f>
        <v>0.32333333333333336</v>
      </c>
      <c r="M61" s="46">
        <f t="shared" ref="M61:M68" si="31">IF(I61=0,"",I61-D61)</f>
        <v>10000000</v>
      </c>
      <c r="N61" s="48">
        <f>$F$10</f>
      </c>
      <c r="O61" s="24">
        <f>IF(N61=0,"",E61/N61)</f>
      </c>
    </row>
    <row r="62" spans="1:15">
      <c r="A62" s="32" t="str">
        <f t="shared" si="23"/>
        <v>사업운영팀 기획2파트</v>
      </c>
      <c r="B62" s="19">
        <f t="shared" si="24"/>
        <v>26.5</v>
      </c>
      <c r="C62" s="45">
        <f>SUMIFS(월간투입!$Q$8:$Q$127,월간투입!$A$8:$A$127,$A62,월간투입!$D$8:$D$127,"사업")</f>
        <v>19.600000000000001</v>
      </c>
      <c r="D62" s="46">
        <f>SUMIF(월간투입!$A$8:$A$127,$A62,월간투입!$R$8:$R$127)</f>
        <v>430000000</v>
      </c>
      <c r="E62" s="46">
        <f>SUMIF(월간투입!$A$8:$A$127,$A62,월간투입!$S$8:$S$127)</f>
        <v>116000000</v>
      </c>
      <c r="F62" s="47">
        <f t="shared" si="25"/>
        <v>0.26976744186046514</v>
      </c>
      <c r="G62" s="46">
        <f t="shared" si="26"/>
        <v>21938775.51020408</v>
      </c>
      <c r="H62" s="46">
        <f t="shared" si="27"/>
        <v>5918367.3469387749</v>
      </c>
      <c r="I62" s="48">
        <f>$E$11</f>
        <v>500000000</v>
      </c>
      <c r="J62" s="24">
        <f t="shared" si="28"/>
        <v>0.86</v>
      </c>
      <c r="K62" s="18">
        <f t="shared" ca="1" si="29"/>
        <v>0.66666666666666663</v>
      </c>
      <c r="L62" s="24">
        <f t="shared" ca="1" si="30"/>
        <v>0.19333333333333336</v>
      </c>
      <c r="M62" s="46">
        <f t="shared" si="31"/>
        <v>70000000</v>
      </c>
      <c r="N62" s="48">
        <f>$F$11</f>
      </c>
      <c r="O62" s="24">
        <f>IF(N62=0,"",E62/N62)</f>
      </c>
    </row>
    <row r="63" spans="1:15">
      <c r="A63" s="32" t="str">
        <f t="shared" si="23"/>
        <v>신사업팀</v>
      </c>
      <c r="B63" s="19">
        <f t="shared" si="24"/>
        <v>18</v>
      </c>
      <c r="C63" s="45">
        <f>SUMIFS(월간투입!$Q$8:$Q$127,월간투입!$A$8:$A$127,$A63,월간투입!$D$8:$D$127,"사업")</f>
        <v>15.599999999999998</v>
      </c>
      <c r="D63" s="46">
        <f>SUMIF(월간투입!$A$8:$A$127,$A63,월간투입!$R$8:$R$127)</f>
        <v>128108108.10810809</v>
      </c>
      <c r="E63" s="46">
        <f>SUMIF(월간투입!$A$8:$A$127,$A63,월간투입!$S$8:$S$127)</f>
        <v>25621621.621621616</v>
      </c>
      <c r="F63" s="47">
        <f t="shared" si="25"/>
        <v>0.19999999999999998</v>
      </c>
      <c r="G63" s="46">
        <f t="shared" si="26"/>
        <v>8212058.2120582117</v>
      </c>
      <c r="H63" s="46">
        <f t="shared" si="27"/>
        <v>1642411.6424116422</v>
      </c>
      <c r="I63" s="48">
        <f>$E$12</f>
        <v>250000000</v>
      </c>
      <c r="J63" s="24">
        <f t="shared" si="28"/>
        <v>0.51243243243243231</v>
      </c>
      <c r="K63" s="18">
        <f t="shared" ca="1" si="29"/>
        <v>0.66666666666666663</v>
      </c>
      <c r="L63" s="24">
        <f t="shared" ca="1" si="30"/>
        <v>-0.15423423423423432</v>
      </c>
      <c r="M63" s="46">
        <f t="shared" si="31"/>
        <v>121891891.89189191</v>
      </c>
      <c r="N63" s="48">
        <f>$F$12</f>
      </c>
      <c r="O63" s="24">
        <f>IF(N63=0,"",E63/N63)</f>
      </c>
    </row>
    <row r="64" spans="1:15">
      <c r="A64" s="32" t="str">
        <f t="shared" si="23"/>
        <v>경영본부 사업기획실</v>
      </c>
      <c r="B64" s="19">
        <f t="shared" si="24"/>
        <v>27.599999999999998</v>
      </c>
      <c r="C64" s="45">
        <f>SUMIFS(월간투입!$Q$8:$Q$127,월간투입!$A$8:$A$127,$A64,월간투입!$D$8:$D$127,"사업")</f>
        <v>14.399999999999997</v>
      </c>
      <c r="D64" s="46">
        <f>SUMIF(월간투입!$A$8:$A$127,$A64,월간투입!$R$8:$R$127)</f>
        <v>91891891.891891897</v>
      </c>
      <c r="E64" s="46">
        <f>SUMIF(월간투입!$A$8:$A$127,$A64,월간투입!$S$8:$S$127)</f>
        <v>14378378.378378376</v>
      </c>
      <c r="F64" s="47">
        <f t="shared" si="25"/>
        <v>0.15647058823529408</v>
      </c>
      <c r="G64" s="46">
        <f t="shared" si="26"/>
        <v>6381381.3813813832</v>
      </c>
      <c r="H64" s="46">
        <f t="shared" si="27"/>
        <v>998498.49849849858</v>
      </c>
      <c r="I64" s="48">
        <f>$E$13</f>
        <v>10000000</v>
      </c>
      <c r="J64" s="24">
        <f t="shared" si="28"/>
        <v>9.1891891891891895</v>
      </c>
      <c r="K64" s="18">
        <f t="shared" ca="1" si="29"/>
        <v>0.66666666666666663</v>
      </c>
      <c r="L64" s="24">
        <f t="shared" ca="1" si="30"/>
        <v>8.5225225225225234</v>
      </c>
      <c r="M64" s="46">
        <f t="shared" si="31"/>
        <v>-81891891.891891897</v>
      </c>
      <c r="N64" s="48">
        <f>$F$13</f>
      </c>
      <c r="O64" s="24">
        <f>IF(N64=0,"",E64/N64)</f>
      </c>
    </row>
    <row r="65" spans="1:15">
      <c r="A65" s="32" t="str">
        <f t="shared" si="23"/>
        <v/>
      </c>
      <c r="B65" s="19">
        <f t="shared" si="24"/>
        <v>0</v>
      </c>
      <c r="C65" s="45">
        <f>SUMIFS(월간투입!$Q$8:$Q$127,월간투입!$A$8:$A$127,$A65,월간투입!$D$8:$D$127,"사업")</f>
        <v>0</v>
      </c>
      <c r="D65" s="46">
        <f>SUMIF(월간투입!$A$8:$A$127,$A65,월간투입!$R$8:$R$127)</f>
        <v>0</v>
      </c>
      <c r="E65" s="46">
        <f>SUMIF(월간투입!$A$8:$A$127,$A65,월간투입!$S$8:$S$127)</f>
        <v>0</v>
      </c>
      <c r="F65" s="47" t="str">
        <f t="shared" si="25"/>
        <v/>
      </c>
      <c r="G65" s="46" t="str">
        <f t="shared" si="26"/>
        <v/>
      </c>
      <c r="H65" s="46" t="str">
        <f t="shared" si="27"/>
        <v/>
      </c>
      <c r="I65" s="48">
        <f>$E$14</f>
        <v>0</v>
      </c>
      <c r="J65" s="24" t="str">
        <f t="shared" si="28"/>
        <v/>
      </c>
      <c r="K65" s="18" t="str">
        <f t="shared" si="29"/>
        <v/>
      </c>
      <c r="L65" s="24" t="str">
        <f t="shared" si="30"/>
        <v/>
      </c>
      <c r="M65" s="46" t="str">
        <f t="shared" si="31"/>
        <v/>
      </c>
      <c r="N65" s="48">
        <f>$F$14</f>
      </c>
      <c r="O65" s="24">
        <f>IF(N65=0,"",E65/N65)</f>
      </c>
    </row>
    <row r="66" spans="1:15">
      <c r="A66" s="32" t="str">
        <f t="shared" si="23"/>
        <v/>
      </c>
      <c r="B66" s="19">
        <f t="shared" si="24"/>
        <v>0</v>
      </c>
      <c r="C66" s="45">
        <f>SUMIFS(월간투입!$Q$8:$Q$127,월간투입!$A$8:$A$127,$A66,월간투입!$D$8:$D$127,"사업")</f>
        <v>0</v>
      </c>
      <c r="D66" s="46">
        <f>SUMIF(월간투입!$A$8:$A$127,$A66,월간투입!$R$8:$R$127)</f>
        <v>0</v>
      </c>
      <c r="E66" s="46">
        <f>SUMIF(월간투입!$A$8:$A$127,$A66,월간투입!$S$8:$S$127)</f>
        <v>0</v>
      </c>
      <c r="F66" s="47" t="str">
        <f t="shared" si="25"/>
        <v/>
      </c>
      <c r="G66" s="46" t="str">
        <f t="shared" si="26"/>
        <v/>
      </c>
      <c r="H66" s="46" t="str">
        <f t="shared" si="27"/>
        <v/>
      </c>
      <c r="I66" s="48">
        <f>$E$15</f>
        <v>0</v>
      </c>
      <c r="J66" s="24" t="str">
        <f t="shared" si="28"/>
        <v/>
      </c>
      <c r="K66" s="18" t="str">
        <f t="shared" si="29"/>
        <v/>
      </c>
      <c r="L66" s="24" t="str">
        <f t="shared" si="30"/>
        <v/>
      </c>
      <c r="M66" s="46" t="str">
        <f t="shared" si="31"/>
        <v/>
      </c>
      <c r="N66" s="48">
        <f>$F$15</f>
      </c>
      <c r="O66" s="24">
        <f>IF(N66=0,"",E66/N66)</f>
      </c>
    </row>
    <row r="67" spans="1:15">
      <c r="A67" s="32" t="str">
        <f t="shared" si="23"/>
        <v/>
      </c>
      <c r="B67" s="19">
        <f t="shared" si="24"/>
        <v>0</v>
      </c>
      <c r="C67" s="45">
        <f>SUMIFS(월간투입!$Q$8:$Q$127,월간투입!$A$8:$A$127,$A67,월간투입!$D$8:$D$127,"사업")</f>
        <v>0</v>
      </c>
      <c r="D67" s="46">
        <f>SUMIF(월간투입!$A$8:$A$127,$A67,월간투입!$R$8:$R$127)</f>
        <v>0</v>
      </c>
      <c r="E67" s="46">
        <f>SUMIF(월간투입!$A$8:$A$127,$A67,월간투입!$S$8:$S$127)</f>
        <v>0</v>
      </c>
      <c r="F67" s="47" t="str">
        <f t="shared" si="25"/>
        <v/>
      </c>
      <c r="G67" s="46" t="str">
        <f t="shared" si="26"/>
        <v/>
      </c>
      <c r="H67" s="46" t="str">
        <f t="shared" si="27"/>
        <v/>
      </c>
      <c r="I67" s="48">
        <f>$E$16</f>
        <v>0</v>
      </c>
      <c r="J67" s="24" t="str">
        <f t="shared" si="28"/>
        <v/>
      </c>
      <c r="K67" s="18" t="str">
        <f t="shared" si="29"/>
        <v/>
      </c>
      <c r="L67" s="24" t="str">
        <f t="shared" si="30"/>
        <v/>
      </c>
      <c r="M67" s="46" t="str">
        <f t="shared" si="31"/>
        <v/>
      </c>
      <c r="N67" s="48">
        <f>$F$16</f>
      </c>
      <c r="O67" s="24">
        <f>IF(N67=0,"",E67/N67)</f>
      </c>
    </row>
    <row r="68" spans="1:15">
      <c r="A68" s="32" t="str">
        <f t="shared" si="23"/>
        <v/>
      </c>
      <c r="B68" s="19">
        <f t="shared" si="24"/>
        <v>0</v>
      </c>
      <c r="C68" s="45">
        <f>SUMIFS(월간투입!$Q$8:$Q$127,월간투입!$A$8:$A$127,$A68,월간투입!$D$8:$D$127,"사업")</f>
        <v>0</v>
      </c>
      <c r="D68" s="46">
        <f>SUMIF(월간투입!$A$8:$A$127,$A68,월간투입!$R$8:$R$127)</f>
        <v>0</v>
      </c>
      <c r="E68" s="46">
        <f>SUMIF(월간투입!$A$8:$A$127,$A68,월간투입!$S$8:$S$127)</f>
        <v>0</v>
      </c>
      <c r="F68" s="47" t="str">
        <f t="shared" si="25"/>
        <v/>
      </c>
      <c r="G68" s="46" t="str">
        <f t="shared" si="26"/>
        <v/>
      </c>
      <c r="H68" s="46" t="str">
        <f t="shared" si="27"/>
        <v/>
      </c>
      <c r="I68" s="48">
        <f>$E$17</f>
        <v>0</v>
      </c>
      <c r="J68" s="24" t="str">
        <f t="shared" si="28"/>
        <v/>
      </c>
      <c r="K68" s="18" t="str">
        <f t="shared" si="29"/>
        <v/>
      </c>
      <c r="L68" s="24" t="str">
        <f t="shared" si="30"/>
        <v/>
      </c>
      <c r="M68" s="46" t="str">
        <f t="shared" si="31"/>
        <v/>
      </c>
      <c r="N68" s="48">
        <f>$F$17</f>
      </c>
      <c r="O68" s="24">
        <f>IF(N68=0,"",E68/N68)</f>
      </c>
    </row>
    <row r="69" spans="1:15">
      <c r="A69" s="21" t="s">
        <v>125</v>
      </c>
      <c r="B69" s="25">
        <f>SUM(B61:B68)</f>
        <v>124.99999999999999</v>
      </c>
      <c r="C69" s="25">
        <f>SUM(C61:C68)</f>
        <v>77.899999999999991</v>
      </c>
      <c r="D69" s="23">
        <f>SUM(D61:D68)</f>
        <v>1640000000</v>
      </c>
      <c r="E69" s="23">
        <f>SUM(E61:E68)</f>
        <v>448000000</v>
      </c>
      <c r="F69" s="24">
        <f t="shared" si="25"/>
        <v>0.27317073170731709</v>
      </c>
      <c r="G69" s="23">
        <f t="shared" si="26"/>
        <v>21052631.578947369</v>
      </c>
      <c r="H69" s="23">
        <f t="shared" si="27"/>
        <v>5750962.7727856236</v>
      </c>
      <c r="I69" s="23">
        <f>SUM(I61:I68)</f>
        <v>1760000000</v>
      </c>
      <c r="J69" s="24">
        <f t="shared" si="28"/>
        <v>0.93181818181818177</v>
      </c>
      <c r="K69" s="24">
        <f ca="1">$B$6</f>
        <v>0.66666666666666663</v>
      </c>
      <c r="L69" s="24">
        <f t="shared" ca="1" si="30"/>
        <v>0.26515151515151514</v>
      </c>
      <c r="M69" s="23">
        <f>SUM(M61:M68)</f>
        <v>120000000</v>
      </c>
      <c r="N69" s="23">
        <f>SUM(N61:N68)</f>
      </c>
      <c r="O69" s="24">
        <f>IF(N69=0,"",E69/N69)</f>
      </c>
    </row>
    <row r="72" spans="1:13">
      <c r="A72" s="2" t="s">
        <v>126</v>
      </c>
    </row>
    <row r="73" spans="1:12" ht="36" customHeight="1">
      <c r="A73" s="5" t="s">
        <v>61</v>
      </c>
      <c r="B73" s="5" t="s">
        <v>127</v>
      </c>
      <c r="C73" s="5" t="s">
        <v>128</v>
      </c>
      <c r="D73" s="5" t="s">
        <v>129</v>
      </c>
      <c r="E73" s="5" t="s">
        <v>130</v>
      </c>
      <c r="F73" s="5" t="s">
        <v>131</v>
      </c>
      <c r="G73" s="5" t="s">
        <v>6</v>
      </c>
      <c r="H73" s="5" t="s">
        <v>11</v>
      </c>
      <c r="I73" s="5" t="s">
        <v>132</v>
      </c>
      <c r="J73" s="5" t="s">
        <v>133</v>
      </c>
      <c r="K73" s="5" t="s">
        <v>154</v>
      </c>
      <c r="L73" s="5" t="s">
        <v>155</v>
      </c>
    </row>
    <row r="74" spans="1:12">
      <c r="A74" s="32" t="str">
        <f t="shared" ref="A74:A81" si="32">IF($A10="","",$A10)</f>
        <v>사업운영팀 기획1파트</v>
      </c>
      <c r="B74" s="47">
        <f t="shared" ref="B74:B81" si="33">IF($A74="","",N37)</f>
        <v>1.0372549019607842</v>
      </c>
      <c r="C74" s="18">
        <f>IF($C$10=0,"",MAX(B24:M24)/$C$10)</f>
        <v>1.2705882352941174</v>
      </c>
      <c r="D74" s="16">
        <f t="shared" ref="D74:D81" si="34">COUNTIF(B37:M37,"&gt;1")</f>
        <v>5</v>
      </c>
      <c r="E74" s="45">
        <f t="shared" ref="E74:E81" si="35">N49</f>
        <v>-1.8999999999999928</v>
      </c>
      <c r="F74" s="18">
        <f t="shared" ref="F74:F81" si="36">IF(B61=0,"",C61/B61)</f>
        <v>0.53497164461247648</v>
      </c>
      <c r="G74" s="47">
        <f t="shared" ref="G74:G81" si="37">IF(I61=0,"",J61)</f>
        <v>0.99</v>
      </c>
      <c r="H74" s="47">
        <f t="shared" ref="H74:H81" ca="1" si="38">IF(I61=0,"",L61)</f>
        <v>0.32333333333333336</v>
      </c>
      <c r="I74" s="49" t="str">
        <f t="shared" ref="I74:I81" si="39">IF($A74="","",IF(B74&gt;1.2,"심각 과부하",IF(B74&gt;1,"과부하",IF(B74&gt;=0.9,"여유 없음",IF(B74&gt;=0.7,"적정","여력 있음")))))</f>
        <v>과부하</v>
      </c>
      <c r="J74" s="49" t="str">
        <f t="shared" ref="J74:J81" ca="1" si="40">IF($A74="","",IF(I61=0,"목표 없음",IF(L61&gt;=0.05,"진도 앞섬",IF(L61&gt;=-0.1,"정상 진도","진도 지연"))))</f>
        <v>진도 앞섬</v>
      </c>
      <c r="K74" s="47">
        <f>IF(N61=0,"",O61)</f>
      </c>
      <c r="L74" s="49">
        <f>IF($A74="","",IF(N61=0,"목표 없음",IF(O61-$B$6&gt;=0.05,"진도 앞섬",IF(O61-$B$6&gt;=-0.1,"정상 진도","진도 지연"))))</f>
      </c>
    </row>
    <row r="75" spans="1:12">
      <c r="A75" s="32" t="str">
        <f t="shared" si="32"/>
        <v>사업운영팀 기획2파트</v>
      </c>
      <c r="B75" s="47">
        <f t="shared" si="33"/>
        <v>0.64950980392156865</v>
      </c>
      <c r="C75" s="18">
        <f>IF($C$11=0,"",MAX(B25:M25)/$C$11)</f>
        <v>1.1470588235294117</v>
      </c>
      <c r="D75" s="16">
        <f t="shared" si="34"/>
        <v>4</v>
      </c>
      <c r="E75" s="45">
        <f t="shared" si="35"/>
        <v>14.3</v>
      </c>
      <c r="F75" s="18">
        <f t="shared" si="36"/>
        <v>0.73962264150943402</v>
      </c>
      <c r="G75" s="47">
        <f t="shared" si="37"/>
        <v>0.86</v>
      </c>
      <c r="H75" s="47">
        <f t="shared" ca="1" si="38"/>
        <v>0.19333333333333336</v>
      </c>
      <c r="I75" s="49" t="str">
        <f t="shared" si="39"/>
        <v>여력 있음</v>
      </c>
      <c r="J75" s="49" t="str">
        <f t="shared" ca="1" si="40"/>
        <v>진도 앞섬</v>
      </c>
      <c r="K75" s="47">
        <f>IF(N62=0,"",O62)</f>
      </c>
      <c r="L75" s="49">
        <f>IF($A75="","",IF(N62=0,"목표 없음",IF(O62-$B$6&gt;=0.05,"진도 앞섬",IF(O62-$B$6&gt;=-0.1,"정상 진도","진도 지연"))))</f>
      </c>
    </row>
    <row r="76" spans="1:12">
      <c r="A76" s="32" t="str">
        <f t="shared" si="32"/>
        <v>신사업팀</v>
      </c>
      <c r="B76" s="47">
        <f t="shared" si="33"/>
        <v>0.58823529411764708</v>
      </c>
      <c r="C76" s="18">
        <f>IF($C$12=0,"",MAX(B26:M26)/$C$12)</f>
        <v>0.82352941176470595</v>
      </c>
      <c r="D76" s="16">
        <f t="shared" si="34"/>
        <v>0</v>
      </c>
      <c r="E76" s="45">
        <f t="shared" si="35"/>
        <v>12.599999999999994</v>
      </c>
      <c r="F76" s="18">
        <f t="shared" si="36"/>
        <v>0.86666666666666659</v>
      </c>
      <c r="G76" s="47">
        <f t="shared" si="37"/>
        <v>0.51243243243243231</v>
      </c>
      <c r="H76" s="47">
        <f t="shared" ca="1" si="38"/>
        <v>-0.15423423423423432</v>
      </c>
      <c r="I76" s="49" t="str">
        <f t="shared" si="39"/>
        <v>여력 있음</v>
      </c>
      <c r="J76" s="49" t="str">
        <f t="shared" ca="1" si="40"/>
        <v>진도 지연</v>
      </c>
      <c r="K76" s="47">
        <f>IF(N63=0,"",O63)</f>
      </c>
      <c r="L76" s="49">
        <f>IF($A76="","",IF(N63=0,"목표 없음",IF(O63-$B$6&gt;=0.05,"진도 앞섬",IF(O63-$B$6&gt;=-0.1,"정상 진도","진도 지연"))))</f>
      </c>
    </row>
    <row r="77" spans="1:12">
      <c r="A77" s="32" t="str">
        <f t="shared" si="32"/>
        <v>경영본부 사업기획실</v>
      </c>
      <c r="B77" s="47">
        <f t="shared" si="33"/>
        <v>0.90196078431372551</v>
      </c>
      <c r="C77" s="18">
        <f>IF($C$13=0,"",MAX(B27:M27)/$C$13)</f>
        <v>1.1372549019607843</v>
      </c>
      <c r="D77" s="16">
        <f t="shared" si="34"/>
        <v>3</v>
      </c>
      <c r="E77" s="45">
        <f t="shared" si="35"/>
        <v>2.9999999999999973</v>
      </c>
      <c r="F77" s="18">
        <f t="shared" si="36"/>
        <v>0.52173913043478248</v>
      </c>
      <c r="G77" s="47">
        <f t="shared" si="37"/>
        <v>9.1891891891891895</v>
      </c>
      <c r="H77" s="47">
        <f t="shared" ca="1" si="38"/>
        <v>8.5225225225225234</v>
      </c>
      <c r="I77" s="49" t="str">
        <f t="shared" si="39"/>
        <v>여유 없음</v>
      </c>
      <c r="J77" s="49" t="str">
        <f t="shared" ca="1" si="40"/>
        <v>진도 앞섬</v>
      </c>
      <c r="K77" s="47">
        <f>IF(N64=0,"",O64)</f>
      </c>
      <c r="L77" s="49">
        <f>IF($A77="","",IF(N64=0,"목표 없음",IF(O64-$B$6&gt;=0.05,"진도 앞섬",IF(O64-$B$6&gt;=-0.1,"정상 진도","진도 지연"))))</f>
      </c>
    </row>
    <row r="78" spans="1:12">
      <c r="A78" s="32" t="str">
        <f t="shared" si="32"/>
        <v/>
      </c>
      <c r="B78" s="47" t="str">
        <f t="shared" si="33"/>
        <v/>
      </c>
      <c r="C78" s="18" t="str">
        <f>IF($C$14=0,"",MAX(B28:M28)/$C$14)</f>
        <v/>
      </c>
      <c r="D78" s="16">
        <f t="shared" si="34"/>
        <v>0</v>
      </c>
      <c r="E78" s="45">
        <f t="shared" si="35"/>
        <v>0</v>
      </c>
      <c r="F78" s="18" t="str">
        <f t="shared" si="36"/>
        <v/>
      </c>
      <c r="G78" s="47" t="str">
        <f t="shared" si="37"/>
        <v/>
      </c>
      <c r="H78" s="47" t="str">
        <f t="shared" si="38"/>
        <v/>
      </c>
      <c r="I78" s="49" t="str">
        <f t="shared" si="39"/>
        <v/>
      </c>
      <c r="J78" s="49" t="str">
        <f t="shared" si="40"/>
        <v/>
      </c>
      <c r="K78" s="47">
        <f>IF(N65=0,"",O65)</f>
      </c>
      <c r="L78" s="49">
        <f>IF($A78="","",IF(N65=0,"목표 없음",IF(O65-$B$6&gt;=0.05,"진도 앞섬",IF(O65-$B$6&gt;=-0.1,"정상 진도","진도 지연"))))</f>
      </c>
    </row>
    <row r="79" spans="1:12">
      <c r="A79" s="32" t="str">
        <f t="shared" si="32"/>
        <v/>
      </c>
      <c r="B79" s="47" t="str">
        <f t="shared" si="33"/>
        <v/>
      </c>
      <c r="C79" s="18" t="str">
        <f>IF($C$15=0,"",MAX(B29:M29)/$C$15)</f>
        <v/>
      </c>
      <c r="D79" s="16">
        <f t="shared" si="34"/>
        <v>0</v>
      </c>
      <c r="E79" s="45">
        <f t="shared" si="35"/>
        <v>0</v>
      </c>
      <c r="F79" s="18" t="str">
        <f t="shared" si="36"/>
        <v/>
      </c>
      <c r="G79" s="47" t="str">
        <f t="shared" si="37"/>
        <v/>
      </c>
      <c r="H79" s="47" t="str">
        <f t="shared" si="38"/>
        <v/>
      </c>
      <c r="I79" s="49" t="str">
        <f t="shared" si="39"/>
        <v/>
      </c>
      <c r="J79" s="49" t="str">
        <f t="shared" si="40"/>
        <v/>
      </c>
      <c r="K79" s="47">
        <f>IF(N66=0,"",O66)</f>
      </c>
      <c r="L79" s="49">
        <f>IF($A79="","",IF(N66=0,"목표 없음",IF(O66-$B$6&gt;=0.05,"진도 앞섬",IF(O66-$B$6&gt;=-0.1,"정상 진도","진도 지연"))))</f>
      </c>
    </row>
    <row r="80" spans="1:12">
      <c r="A80" s="32" t="str">
        <f t="shared" si="32"/>
        <v/>
      </c>
      <c r="B80" s="47" t="str">
        <f t="shared" si="33"/>
        <v/>
      </c>
      <c r="C80" s="18" t="str">
        <f>IF($C$16=0,"",MAX(B30:M30)/$C$16)</f>
        <v/>
      </c>
      <c r="D80" s="16">
        <f t="shared" si="34"/>
        <v>0</v>
      </c>
      <c r="E80" s="45">
        <f t="shared" si="35"/>
        <v>0</v>
      </c>
      <c r="F80" s="18" t="str">
        <f t="shared" si="36"/>
        <v/>
      </c>
      <c r="G80" s="47" t="str">
        <f t="shared" si="37"/>
        <v/>
      </c>
      <c r="H80" s="47" t="str">
        <f t="shared" si="38"/>
        <v/>
      </c>
      <c r="I80" s="49" t="str">
        <f t="shared" si="39"/>
        <v/>
      </c>
      <c r="J80" s="49" t="str">
        <f t="shared" si="40"/>
        <v/>
      </c>
      <c r="K80" s="47">
        <f>IF(N67=0,"",O67)</f>
      </c>
      <c r="L80" s="49">
        <f>IF($A80="","",IF(N67=0,"목표 없음",IF(O67-$B$6&gt;=0.05,"진도 앞섬",IF(O67-$B$6&gt;=-0.1,"정상 진도","진도 지연"))))</f>
      </c>
    </row>
    <row r="81" spans="1:12">
      <c r="A81" s="32" t="str">
        <f t="shared" si="32"/>
        <v/>
      </c>
      <c r="B81" s="47" t="str">
        <f t="shared" si="33"/>
        <v/>
      </c>
      <c r="C81" s="18" t="str">
        <f>IF($C$17=0,"",MAX(B31:M31)/$C$17)</f>
        <v/>
      </c>
      <c r="D81" s="16">
        <f t="shared" si="34"/>
        <v>0</v>
      </c>
      <c r="E81" s="45">
        <f t="shared" si="35"/>
        <v>0</v>
      </c>
      <c r="F81" s="18" t="str">
        <f t="shared" si="36"/>
        <v/>
      </c>
      <c r="G81" s="47" t="str">
        <f t="shared" si="37"/>
        <v/>
      </c>
      <c r="H81" s="47" t="str">
        <f t="shared" si="38"/>
        <v/>
      </c>
      <c r="I81" s="49" t="str">
        <f t="shared" si="39"/>
        <v/>
      </c>
      <c r="J81" s="49" t="str">
        <f t="shared" si="40"/>
        <v/>
      </c>
      <c r="K81" s="47">
        <f>IF(N68=0,"",O68)</f>
      </c>
      <c r="L81" s="49">
        <f>IF($A81="","",IF(N68=0,"목표 없음",IF(O68-$B$6&gt;=0.05,"진도 앞섬",IF(O68-$B$6&gt;=-0.1,"정상 진도","진도 지연"))))</f>
      </c>
    </row>
    <row r="84" spans="1:10">
      <c r="A84" s="1" t="s">
        <v>134</v>
      </c>
    </row>
    <row r="85" spans="1:10">
      <c r="A85" s="1" t="s">
        <v>135</v>
      </c>
    </row>
    <row r="86" spans="1:10">
      <c r="A86" s="1" t="s">
        <v>136</v>
      </c>
    </row>
    <row r="87" spans="1:10">
      <c r="A87" s="1" t="s">
        <v>137</v>
      </c>
    </row>
    <row r="88" spans="1:10">
      <c r="A88" s="1" t="s">
        <v>138</v>
      </c>
    </row>
    <row r="89" spans="1:10">
      <c r="A89" s="1" t="s">
        <v>139</v>
      </c>
    </row>
  </sheetData>
  <phoneticPr fontId="32" type="noConversion"/>
  <conditionalFormatting sqref="B49:M56">
    <cfRule type="cellIs" dxfId="19" priority="5" operator="lessThan">
      <formula>0</formula>
    </cfRule>
  </conditionalFormatting>
  <conditionalFormatting sqref="B37:N44">
    <cfRule type="cellIs" dxfId="18" priority="2" operator="greaterThan">
      <formula>1.2</formula>
    </cfRule>
    <cfRule type="cellIs" dxfId="17" priority="3" operator="between">
      <formula>1.0001</formula>
      <formula>1.2</formula>
    </cfRule>
    <cfRule type="cellIs" dxfId="16" priority="4" operator="lessThan">
      <formula>0.7</formula>
    </cfRule>
  </conditionalFormatting>
  <conditionalFormatting sqref="I74:I81">
    <cfRule type="cellIs" dxfId="15" priority="8" operator="equal">
      <formula>"심각 과부하"</formula>
    </cfRule>
    <cfRule type="cellIs" dxfId="14" priority="9" operator="equal">
      <formula>"과부하"</formula>
    </cfRule>
    <cfRule type="cellIs" dxfId="13" priority="10" operator="equal">
      <formula>"여유 없음"</formula>
    </cfRule>
    <cfRule type="cellIs" dxfId="12" priority="11" operator="equal">
      <formula>"여력 있음"</formula>
    </cfRule>
  </conditionalFormatting>
  <conditionalFormatting sqref="J74:J81">
    <cfRule type="cellIs" dxfId="11" priority="12" operator="equal">
      <formula>"진도 지연"</formula>
    </cfRule>
    <cfRule type="cellIs" dxfId="10" priority="13" operator="equal">
      <formula>"진도 앞섬"</formula>
    </cfRule>
    <cfRule type="cellIs" dxfId="9" priority="14" operator="equal">
      <formula>"목표 없음"</formula>
    </cfRule>
  </conditionalFormatting>
  <conditionalFormatting sqref="L61:L68">
    <cfRule type="cellIs" dxfId="8" priority="6" operator="greaterThanOrEqual">
      <formula>0</formula>
    </cfRule>
    <cfRule type="cellIs" dxfId="7" priority="7" operator="lessThan">
      <formula>-0.1</formula>
    </cfRule>
  </conditionalFormatting>
  <dataValidations count="1">
    <dataValidation type="list" allowBlank="1" sqref="R9:R48" xr:uid="{00000000-0002-0000-0300-000000000000}">
      <formula1>$A$10:$A$17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99"/>
  <sheetViews>
    <sheetView showGridLines="0" topLeftCell="A17" zoomScaleNormal="100" workbookViewId="0">
      <selection activeCell="J51" sqref="J51"/>
    </sheetView>
  </sheetViews>
  <sheetFormatPr defaultColWidth="8.7109375" defaultRowHeight="15"/>
  <cols>
    <col min="1" max="1" width="24" customWidth="1"/>
    <col min="2" max="18" width="15" customWidth="1"/>
  </cols>
  <sheetData>
    <row r="1" spans="1:18" ht="23.25">
      <c r="A1" s="50" t="s">
        <v>140</v>
      </c>
    </row>
    <row r="2" spans="1:18">
      <c r="A2" s="1" t="s">
        <v>141</v>
      </c>
    </row>
    <row r="4" spans="1:18" ht="19.5" customHeight="1">
      <c r="A4" s="83" t="s">
        <v>2</v>
      </c>
      <c r="B4" s="83"/>
      <c r="C4" s="83"/>
      <c r="D4" s="84" t="s">
        <v>130</v>
      </c>
      <c r="E4" s="84"/>
      <c r="F4" s="84"/>
      <c r="G4" s="85" t="s">
        <v>142</v>
      </c>
      <c r="H4" s="85"/>
      <c r="I4" s="85"/>
      <c r="J4" s="86" t="s">
        <v>65</v>
      </c>
      <c r="K4" s="86"/>
      <c r="L4" s="86"/>
      <c r="M4" s="87" t="s">
        <v>6</v>
      </c>
      <c r="N4" s="87"/>
      <c r="O4" s="87"/>
      <c r="P4" s="79" t="s">
        <v>7</v>
      </c>
      <c r="Q4" s="79"/>
      <c r="R4" s="79"/>
    </row>
    <row r="5" spans="1:18" ht="24" customHeight="1">
      <c r="A5" s="80">
        <f>IF(팀별분석!D18=0,"",팀별분석!B69/팀별분석!D18)</f>
        <v>0.81699346405228745</v>
      </c>
      <c r="B5" s="80"/>
      <c r="C5" s="80"/>
      <c r="D5" s="81">
        <f>팀별분석!D18-팀별분석!B69</f>
        <v>28.000000000000014</v>
      </c>
      <c r="E5" s="81"/>
      <c r="F5" s="81"/>
      <c r="G5" s="82">
        <f>팀별분석!D69</f>
        <v>1640000000</v>
      </c>
      <c r="H5" s="82"/>
      <c r="I5" s="82"/>
      <c r="J5" s="82">
        <f>팀별분석!E69</f>
        <v>448000000</v>
      </c>
      <c r="K5" s="82"/>
      <c r="L5" s="82"/>
      <c r="M5" s="80">
        <f>팀별분석!J69</f>
        <v>0.93181818181818177</v>
      </c>
      <c r="N5" s="80"/>
      <c r="O5" s="80"/>
      <c r="P5" s="80">
        <f ca="1">팀별분석!$B$6</f>
        <v>0.66666666666666663</v>
      </c>
      <c r="Q5" s="80"/>
      <c r="R5" s="80"/>
    </row>
    <row r="6" spans="1:18">
      <c r="A6" s="80"/>
      <c r="B6" s="80"/>
      <c r="C6" s="80"/>
      <c r="D6" s="81"/>
      <c r="E6" s="81"/>
      <c r="F6" s="81"/>
      <c r="G6" s="82"/>
      <c r="H6" s="82"/>
      <c r="I6" s="82"/>
      <c r="J6" s="82"/>
      <c r="K6" s="82"/>
      <c r="L6" s="82"/>
      <c r="M6" s="80"/>
      <c r="N6" s="80"/>
      <c r="O6" s="80"/>
      <c r="P6" s="80"/>
      <c r="Q6" s="80"/>
      <c r="R6" s="80"/>
    </row>
    <row r="73" spans="1:10">
      <c r="A73" s="2" t="s">
        <v>143</v>
      </c>
    </row>
    <row r="74" spans="1:10" ht="31.5" customHeight="1">
      <c r="A74" s="5" t="s">
        <v>61</v>
      </c>
      <c r="B74" s="5" t="s">
        <v>127</v>
      </c>
      <c r="C74" s="5" t="s">
        <v>129</v>
      </c>
      <c r="D74" s="5" t="s">
        <v>130</v>
      </c>
      <c r="E74" s="5" t="s">
        <v>142</v>
      </c>
      <c r="F74" s="5" t="s">
        <v>123</v>
      </c>
      <c r="G74" s="5" t="s">
        <v>6</v>
      </c>
      <c r="H74" s="5" t="s">
        <v>11</v>
      </c>
      <c r="I74" s="5" t="s">
        <v>132</v>
      </c>
      <c r="J74" s="5" t="s">
        <v>133</v>
      </c>
    </row>
    <row r="75" spans="1:10">
      <c r="A75" s="51" t="str">
        <f>팀별분석!A74</f>
        <v>사업운영팀 기획1파트</v>
      </c>
      <c r="B75" s="18">
        <f>팀별분석!B74</f>
        <v>1.0372549019607842</v>
      </c>
      <c r="C75" s="16">
        <f>팀별분석!D74</f>
        <v>5</v>
      </c>
      <c r="D75" s="45">
        <f>팀별분석!E74</f>
        <v>-1.8999999999999928</v>
      </c>
      <c r="E75" s="46">
        <f>팀별분석!D61</f>
        <v>990000000</v>
      </c>
      <c r="F75" s="46">
        <f>팀별분석!I61</f>
        <v>1000000000</v>
      </c>
      <c r="G75" s="18">
        <f>팀별분석!J61</f>
        <v>0.99</v>
      </c>
      <c r="H75" s="18">
        <f ca="1">팀별분석!L61</f>
        <v>0.32333333333333336</v>
      </c>
      <c r="I75" s="52" t="str">
        <f>팀별분석!I74</f>
        <v>과부하</v>
      </c>
      <c r="J75" s="52" t="str">
        <f ca="1">팀별분석!J74</f>
        <v>진도 앞섬</v>
      </c>
    </row>
    <row r="76" spans="1:10">
      <c r="A76" s="51" t="str">
        <f>팀별분석!A75</f>
        <v>사업운영팀 기획2파트</v>
      </c>
      <c r="B76" s="18">
        <f>팀별분석!B75</f>
        <v>0.64950980392156865</v>
      </c>
      <c r="C76" s="16">
        <f>팀별분석!D75</f>
        <v>4</v>
      </c>
      <c r="D76" s="45">
        <f>팀별분석!E75</f>
        <v>14.3</v>
      </c>
      <c r="E76" s="46">
        <f>팀별분석!D62</f>
        <v>430000000</v>
      </c>
      <c r="F76" s="46">
        <f>팀별분석!I62</f>
        <v>500000000</v>
      </c>
      <c r="G76" s="18">
        <f>팀별분석!J62</f>
        <v>0.86</v>
      </c>
      <c r="H76" s="18">
        <f ca="1">팀별분석!L62</f>
        <v>0.19333333333333336</v>
      </c>
      <c r="I76" s="52" t="str">
        <f>팀별분석!I75</f>
        <v>여력 있음</v>
      </c>
      <c r="J76" s="52" t="str">
        <f ca="1">팀별분석!J75</f>
        <v>진도 앞섬</v>
      </c>
    </row>
    <row r="77" spans="1:10">
      <c r="A77" s="51" t="str">
        <f>팀별분석!A76</f>
        <v>신사업팀</v>
      </c>
      <c r="B77" s="18">
        <f>팀별분석!B76</f>
        <v>0.58823529411764708</v>
      </c>
      <c r="C77" s="16">
        <f>팀별분석!D76</f>
        <v>0</v>
      </c>
      <c r="D77" s="45">
        <f>팀별분석!E76</f>
        <v>12.599999999999994</v>
      </c>
      <c r="E77" s="46">
        <f>팀별분석!D63</f>
        <v>128108108.10810809</v>
      </c>
      <c r="F77" s="46">
        <f>팀별분석!I63</f>
        <v>250000000</v>
      </c>
      <c r="G77" s="18">
        <f>팀별분석!J63</f>
        <v>0.51243243243243231</v>
      </c>
      <c r="H77" s="18">
        <f ca="1">팀별분석!L63</f>
        <v>-0.15423423423423432</v>
      </c>
      <c r="I77" s="52" t="str">
        <f>팀별분석!I76</f>
        <v>여력 있음</v>
      </c>
      <c r="J77" s="52" t="str">
        <f ca="1">팀별분석!J76</f>
        <v>진도 지연</v>
      </c>
    </row>
    <row r="78" spans="1:10">
      <c r="A78" s="51" t="str">
        <f>팀별분석!A77</f>
        <v>경영본부 사업기획실</v>
      </c>
      <c r="B78" s="18">
        <f>팀별분석!B77</f>
        <v>0.90196078431372551</v>
      </c>
      <c r="C78" s="16">
        <f>팀별분석!D77</f>
        <v>3</v>
      </c>
      <c r="D78" s="45">
        <f>팀별분석!E77</f>
        <v>2.9999999999999973</v>
      </c>
      <c r="E78" s="46">
        <f>팀별분석!D64</f>
        <v>91891891.891891897</v>
      </c>
      <c r="F78" s="46">
        <f>팀별분석!I64</f>
        <v>10000000</v>
      </c>
      <c r="G78" s="18">
        <f>팀별분석!J64</f>
        <v>9.1891891891891895</v>
      </c>
      <c r="H78" s="18">
        <f ca="1">팀별분석!L64</f>
        <v>8.5225225225225234</v>
      </c>
      <c r="I78" s="52" t="str">
        <f>팀별분석!I77</f>
        <v>여유 없음</v>
      </c>
      <c r="J78" s="52" t="str">
        <f ca="1">팀별분석!J77</f>
        <v>진도 앞섬</v>
      </c>
    </row>
    <row r="79" spans="1:10">
      <c r="A79" s="51" t="str">
        <f>팀별분석!A78</f>
        <v/>
      </c>
      <c r="B79" s="18" t="str">
        <f>팀별분석!B78</f>
        <v/>
      </c>
      <c r="C79" s="16">
        <f>팀별분석!D78</f>
        <v>0</v>
      </c>
      <c r="D79" s="45">
        <f>팀별분석!E78</f>
        <v>0</v>
      </c>
      <c r="E79" s="46">
        <f>팀별분석!D65</f>
        <v>0</v>
      </c>
      <c r="F79" s="46">
        <f>팀별분석!I65</f>
        <v>0</v>
      </c>
      <c r="G79" s="18" t="str">
        <f>팀별분석!J65</f>
        <v/>
      </c>
      <c r="H79" s="18" t="str">
        <f>팀별분석!L65</f>
        <v/>
      </c>
      <c r="I79" s="52" t="str">
        <f>팀별분석!I78</f>
        <v/>
      </c>
      <c r="J79" s="52" t="str">
        <f>팀별분석!J78</f>
        <v/>
      </c>
    </row>
    <row r="80" spans="1:10">
      <c r="A80" s="53" t="s">
        <v>144</v>
      </c>
      <c r="B80" s="18" t="str">
        <f>팀별분석!B79</f>
        <v/>
      </c>
      <c r="C80" s="16">
        <f>팀별분석!D79</f>
        <v>0</v>
      </c>
      <c r="D80" s="45">
        <f>팀별분석!E79</f>
        <v>0</v>
      </c>
      <c r="E80" s="46">
        <f>팀별분석!D66</f>
        <v>0</v>
      </c>
      <c r="F80" s="46">
        <f>팀별분석!I66</f>
        <v>0</v>
      </c>
      <c r="G80" s="18" t="str">
        <f>팀별분석!J66</f>
        <v/>
      </c>
      <c r="H80" s="18" t="str">
        <f>팀별분석!L66</f>
        <v/>
      </c>
      <c r="I80" s="52" t="str">
        <f>팀별분석!I79</f>
        <v/>
      </c>
      <c r="J80" s="52" t="str">
        <f>팀별분석!J79</f>
        <v/>
      </c>
    </row>
    <row r="81" spans="1:11">
      <c r="A81" s="53" t="s">
        <v>145</v>
      </c>
      <c r="B81" s="18" t="str">
        <f>팀별분석!B80</f>
        <v/>
      </c>
      <c r="C81" s="16">
        <f>팀별분석!D80</f>
        <v>0</v>
      </c>
      <c r="D81" s="45">
        <f>팀별분석!E80</f>
        <v>0</v>
      </c>
      <c r="E81" s="46">
        <f>팀별분석!D67</f>
        <v>0</v>
      </c>
      <c r="F81" s="46">
        <f>팀별분석!I67</f>
        <v>0</v>
      </c>
      <c r="G81" s="18" t="str">
        <f>팀별분석!J67</f>
        <v/>
      </c>
      <c r="H81" s="18" t="str">
        <f>팀별분석!L67</f>
        <v/>
      </c>
      <c r="I81" s="52" t="str">
        <f>팀별분석!I80</f>
        <v/>
      </c>
      <c r="J81" s="52" t="str">
        <f>팀별분석!J80</f>
        <v/>
      </c>
    </row>
    <row r="82" spans="1:11">
      <c r="A82" s="51" t="str">
        <f>팀별분석!A81</f>
        <v/>
      </c>
      <c r="B82" s="18" t="str">
        <f>팀별분석!B81</f>
        <v/>
      </c>
      <c r="C82" s="16">
        <f>팀별분석!D81</f>
        <v>0</v>
      </c>
      <c r="D82" s="45">
        <f>팀별분석!E81</f>
        <v>0</v>
      </c>
      <c r="E82" s="46">
        <f>팀별분석!D68</f>
        <v>0</v>
      </c>
      <c r="F82" s="46">
        <f>팀별분석!I68</f>
        <v>0</v>
      </c>
      <c r="G82" s="18" t="str">
        <f>팀별분석!J68</f>
        <v/>
      </c>
      <c r="H82" s="18" t="str">
        <f>팀별분석!L68</f>
        <v/>
      </c>
      <c r="I82" s="52" t="str">
        <f>팀별분석!I81</f>
        <v/>
      </c>
      <c r="J82" s="52" t="str">
        <f>팀별분석!J81</f>
        <v/>
      </c>
    </row>
    <row r="90" spans="1:11">
      <c r="A90" s="3" t="s">
        <v>146</v>
      </c>
    </row>
    <row r="91" spans="1:11">
      <c r="A91" s="27" t="s">
        <v>61</v>
      </c>
      <c r="B91" s="27" t="s">
        <v>147</v>
      </c>
      <c r="C91" s="27" t="s">
        <v>148</v>
      </c>
      <c r="E91" s="27" t="s">
        <v>61</v>
      </c>
      <c r="F91" s="27" t="s">
        <v>149</v>
      </c>
      <c r="G91" s="27" t="s">
        <v>4</v>
      </c>
      <c r="I91" s="27" t="s">
        <v>61</v>
      </c>
      <c r="J91" s="54" t="s">
        <v>150</v>
      </c>
      <c r="K91" s="54" t="s">
        <v>151</v>
      </c>
    </row>
    <row r="92" spans="1:11">
      <c r="A92" s="55" t="str">
        <f>팀별분석!A10</f>
        <v>사업운영팀 기획1파트</v>
      </c>
      <c r="B92" s="56">
        <f>팀별분석!D10</f>
        <v>51</v>
      </c>
      <c r="C92" s="56">
        <f>팀별분석!N24</f>
        <v>52.899999999999991</v>
      </c>
      <c r="E92" s="55" t="str">
        <f>팀별분석!A10</f>
        <v>사업운영팀 기획1파트</v>
      </c>
      <c r="F92" s="57">
        <f>팀별분석!I61</f>
        <v>1000000000</v>
      </c>
      <c r="G92" s="57">
        <f>팀별분석!D61</f>
        <v>990000000</v>
      </c>
      <c r="I92" s="55" t="str">
        <f>팀별분석!A10</f>
        <v>사업운영팀 기획1파트</v>
      </c>
      <c r="J92" s="57">
        <f>팀별분석!G61</f>
        <v>34982332.155477032</v>
      </c>
      <c r="K92" s="57">
        <f>팀별분석!H61</f>
        <v>10318021.201413427</v>
      </c>
    </row>
    <row r="93" spans="1:11">
      <c r="A93" s="55" t="str">
        <f>팀별분석!A11</f>
        <v>사업운영팀 기획2파트</v>
      </c>
      <c r="B93" s="56">
        <f>팀별분석!D11</f>
        <v>40.799999999999997</v>
      </c>
      <c r="C93" s="56">
        <f>팀별분석!N25</f>
        <v>26.5</v>
      </c>
      <c r="E93" s="55" t="str">
        <f>팀별분석!A11</f>
        <v>사업운영팀 기획2파트</v>
      </c>
      <c r="F93" s="57">
        <f>팀별분석!I62</f>
        <v>500000000</v>
      </c>
      <c r="G93" s="57">
        <f>팀별분석!D62</f>
        <v>430000000</v>
      </c>
      <c r="I93" s="55" t="str">
        <f>팀별분석!A11</f>
        <v>사업운영팀 기획2파트</v>
      </c>
      <c r="J93" s="57">
        <f>팀별분석!G62</f>
        <v>21938775.51020408</v>
      </c>
      <c r="K93" s="57">
        <f>팀별분석!H62</f>
        <v>5918367.3469387749</v>
      </c>
    </row>
    <row r="94" spans="1:11">
      <c r="A94" s="55" t="str">
        <f>팀별분석!A12</f>
        <v>신사업팀</v>
      </c>
      <c r="B94" s="56">
        <f>팀별분석!D12</f>
        <v>30.599999999999998</v>
      </c>
      <c r="C94" s="56">
        <f>팀별분석!N26</f>
        <v>18</v>
      </c>
      <c r="E94" s="55" t="str">
        <f>팀별분석!A12</f>
        <v>신사업팀</v>
      </c>
      <c r="F94" s="57">
        <f>팀별분석!I63</f>
        <v>250000000</v>
      </c>
      <c r="G94" s="57">
        <f>팀별분석!D63</f>
        <v>128108108.10810809</v>
      </c>
      <c r="I94" s="55" t="str">
        <f>팀별분석!A12</f>
        <v>신사업팀</v>
      </c>
      <c r="J94" s="57">
        <f>팀별분석!G63</f>
        <v>8212058.2120582117</v>
      </c>
      <c r="K94" s="57">
        <f>팀별분석!H63</f>
        <v>1642411.6424116422</v>
      </c>
    </row>
    <row r="95" spans="1:11">
      <c r="A95" s="55" t="str">
        <f>팀별분석!A13</f>
        <v>경영본부 사업기획실</v>
      </c>
      <c r="B95" s="56">
        <f>팀별분석!D13</f>
        <v>30.599999999999998</v>
      </c>
      <c r="C95" s="56">
        <f>팀별분석!N27</f>
        <v>27.599999999999998</v>
      </c>
      <c r="E95" s="55" t="str">
        <f>팀별분석!A13</f>
        <v>경영본부 사업기획실</v>
      </c>
      <c r="F95" s="57">
        <f>팀별분석!I64</f>
        <v>10000000</v>
      </c>
      <c r="G95" s="57">
        <f>팀별분석!D64</f>
        <v>91891891.891891897</v>
      </c>
      <c r="I95" s="55" t="str">
        <f>팀별분석!A13</f>
        <v>경영본부 사업기획실</v>
      </c>
      <c r="J95" s="57">
        <f>팀별분석!G64</f>
        <v>6381381.3813813832</v>
      </c>
      <c r="K95" s="57">
        <f>팀별분석!H64</f>
        <v>998498.49849849858</v>
      </c>
    </row>
    <row r="96" spans="1:11">
      <c r="A96" s="55">
        <f>팀별분석!A14</f>
        <v>0</v>
      </c>
      <c r="B96" s="56">
        <f>팀별분석!D14</f>
        <v>0</v>
      </c>
      <c r="C96" s="56">
        <f>팀별분석!N28</f>
        <v>0</v>
      </c>
      <c r="E96" s="55">
        <f>팀별분석!A14</f>
        <v>0</v>
      </c>
      <c r="F96" s="57">
        <f>팀별분석!I65</f>
        <v>0</v>
      </c>
      <c r="G96" s="57">
        <f>팀별분석!D65</f>
        <v>0</v>
      </c>
      <c r="I96" s="55">
        <f>팀별분석!A14</f>
        <v>0</v>
      </c>
      <c r="J96" s="57" t="str">
        <f>팀별분석!G65</f>
        <v/>
      </c>
      <c r="K96" s="57" t="str">
        <f>팀별분석!H65</f>
        <v/>
      </c>
    </row>
    <row r="97" spans="1:11">
      <c r="A97" s="55">
        <f>팀별분석!A15</f>
        <v>0</v>
      </c>
      <c r="B97" s="56">
        <f>팀별분석!D15</f>
        <v>0</v>
      </c>
      <c r="C97" s="56">
        <f>팀별분석!N29</f>
        <v>0</v>
      </c>
      <c r="E97" s="55">
        <f>팀별분석!A15</f>
        <v>0</v>
      </c>
      <c r="F97" s="57">
        <f>팀별분석!I66</f>
        <v>0</v>
      </c>
      <c r="G97" s="57">
        <f>팀별분석!D66</f>
        <v>0</v>
      </c>
      <c r="I97" s="55">
        <f>팀별분석!A15</f>
        <v>0</v>
      </c>
      <c r="J97" s="57" t="str">
        <f>팀별분석!G66</f>
        <v/>
      </c>
      <c r="K97" s="57" t="str">
        <f>팀별분석!H66</f>
        <v/>
      </c>
    </row>
    <row r="98" spans="1:11">
      <c r="A98" s="55">
        <f>팀별분석!A16</f>
        <v>0</v>
      </c>
      <c r="B98" s="56">
        <f>팀별분석!D16</f>
        <v>0</v>
      </c>
      <c r="C98" s="56">
        <f>팀별분석!N30</f>
        <v>0</v>
      </c>
      <c r="E98" s="55">
        <f>팀별분석!A16</f>
        <v>0</v>
      </c>
      <c r="F98" s="57">
        <f>팀별분석!I67</f>
        <v>0</v>
      </c>
      <c r="G98" s="57">
        <f>팀별분석!D67</f>
        <v>0</v>
      </c>
      <c r="I98" s="55">
        <f>팀별분석!A16</f>
        <v>0</v>
      </c>
      <c r="J98" s="57" t="str">
        <f>팀별분석!G67</f>
        <v/>
      </c>
      <c r="K98" s="57" t="str">
        <f>팀별분석!H67</f>
        <v/>
      </c>
    </row>
    <row r="99" spans="1:11">
      <c r="A99" s="55">
        <f>팀별분석!A17</f>
        <v>0</v>
      </c>
      <c r="B99" s="56">
        <f>팀별분석!D17</f>
        <v>0</v>
      </c>
      <c r="C99" s="56">
        <f>팀별분석!N31</f>
        <v>0</v>
      </c>
      <c r="E99" s="55">
        <f>팀별분석!A17</f>
        <v>0</v>
      </c>
      <c r="F99" s="57">
        <f>팀별분석!I68</f>
        <v>0</v>
      </c>
      <c r="G99" s="57">
        <f>팀별분석!D68</f>
        <v>0</v>
      </c>
      <c r="I99" s="55">
        <f>팀별분석!A17</f>
        <v>0</v>
      </c>
      <c r="J99" s="57" t="str">
        <f>팀별분석!G68</f>
        <v/>
      </c>
      <c r="K99" s="57" t="str">
        <f>팀별분석!H68</f>
        <v/>
      </c>
    </row>
  </sheetData>
  <mergeCells count="12">
    <mergeCell ref="P4:R4"/>
    <mergeCell ref="A5:C6"/>
    <mergeCell ref="D5:F6"/>
    <mergeCell ref="G5:I6"/>
    <mergeCell ref="J5:L6"/>
    <mergeCell ref="M5:O6"/>
    <mergeCell ref="P5:R6"/>
    <mergeCell ref="A4:C4"/>
    <mergeCell ref="D4:F4"/>
    <mergeCell ref="G4:I4"/>
    <mergeCell ref="J4:L4"/>
    <mergeCell ref="M4:O4"/>
  </mergeCells>
  <phoneticPr fontId="32" type="noConversion"/>
  <conditionalFormatting sqref="I75:I82">
    <cfRule type="cellIs" dxfId="6" priority="2" operator="equal">
      <formula>"심각 과부하"</formula>
    </cfRule>
    <cfRule type="cellIs" dxfId="5" priority="3" operator="equal">
      <formula>"과부하"</formula>
    </cfRule>
    <cfRule type="cellIs" dxfId="4" priority="4" operator="equal">
      <formula>"여유 없음"</formula>
    </cfRule>
    <cfRule type="cellIs" dxfId="3" priority="5" operator="equal">
      <formula>"여력 있음"</formula>
    </cfRule>
  </conditionalFormatting>
  <conditionalFormatting sqref="J75:J82">
    <cfRule type="cellIs" dxfId="2" priority="6" operator="equal">
      <formula>"진도 지연"</formula>
    </cfRule>
    <cfRule type="cellIs" dxfId="1" priority="7" operator="equal">
      <formula>"진도 앞섬"</formula>
    </cfRule>
    <cfRule type="cellIs" dxfId="0" priority="8" operator="equal">
      <formula>"목표 없음"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대시보드</vt:lpstr>
      <vt:lpstr>사업정보</vt:lpstr>
      <vt:lpstr>월간투입</vt:lpstr>
      <vt:lpstr>팀별분석</vt:lpstr>
      <vt:lpstr>상세현황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지훈 고</cp:lastModifiedBy>
  <cp:revision>1</cp:revision>
  <dcterms:created xsi:type="dcterms:W3CDTF">2026-08-13T06:14:05Z</dcterms:created>
  <dcterms:modified xsi:type="dcterms:W3CDTF">2026-08-13T06:28:53Z</dcterms:modified>
  <dc:language>en-US</dc:language>
</cp:coreProperties>
</file>